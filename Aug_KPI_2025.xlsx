
<file path=[Content_Types].xml><?xml version="1.0" encoding="utf-8"?>
<Types xmlns="http://schemas.openxmlformats.org/package/2006/content-types"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ESL_KPI\"/>
    </mc:Choice>
  </mc:AlternateContent>
  <xr:revisionPtr revIDLastSave="0" documentId="8_{EF0AE4BA-E20F-497F-B64D-3D8711E0D3EA}" xr6:coauthVersionLast="47" xr6:coauthVersionMax="47" xr10:uidLastSave="{00000000-0000-0000-0000-000000000000}"/>
  <bookViews>
    <workbookView xWindow="-120" yWindow="-120" windowWidth="29040" windowHeight="15720" xr2:uid="{2B38863D-23A5-4F6E-B399-DE05B10D2D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3" i="1" l="1"/>
  <c r="K62" i="1"/>
  <c r="K61" i="1"/>
  <c r="L56" i="1"/>
  <c r="L55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F63" i="1" l="1"/>
  <c r="G63" i="1" s="1"/>
  <c r="F62" i="1"/>
  <c r="G62" i="1" s="1"/>
  <c r="F61" i="1"/>
  <c r="G61" i="1" s="1"/>
  <c r="R59" i="1"/>
  <c r="Q59" i="1"/>
  <c r="F57" i="1"/>
  <c r="G57" i="1" s="1"/>
  <c r="F56" i="1"/>
  <c r="G56" i="1" s="1"/>
  <c r="F55" i="1"/>
  <c r="G55" i="1" s="1"/>
  <c r="R53" i="1"/>
  <c r="Q53" i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</calcChain>
</file>

<file path=xl/sharedStrings.xml><?xml version="1.0" encoding="utf-8"?>
<sst xmlns="http://schemas.openxmlformats.org/spreadsheetml/2006/main" count="331" uniqueCount="162">
  <si>
    <t>Month of July (2025)</t>
  </si>
  <si>
    <t xml:space="preserve">Individual </t>
  </si>
  <si>
    <t>Score =</t>
  </si>
  <si>
    <t>SL</t>
  </si>
  <si>
    <t>ID</t>
  </si>
  <si>
    <t>Name</t>
  </si>
  <si>
    <t>DOJ</t>
  </si>
  <si>
    <t>Days</t>
  </si>
  <si>
    <t>Tenure</t>
  </si>
  <si>
    <t>Designation</t>
  </si>
  <si>
    <t>Department</t>
  </si>
  <si>
    <t>Supervisor</t>
  </si>
  <si>
    <t>KPI (5)</t>
  </si>
  <si>
    <t>Quality of work</t>
  </si>
  <si>
    <t>Time Line of Deliverables</t>
  </si>
  <si>
    <t>Stakeholder &amp; Peer Review</t>
  </si>
  <si>
    <t>Attendance</t>
  </si>
  <si>
    <t xml:space="preserve">Total Score: </t>
  </si>
  <si>
    <t>Remarks</t>
  </si>
  <si>
    <t>HR Note</t>
  </si>
  <si>
    <t>013506</t>
  </si>
  <si>
    <t xml:space="preserve">S.M. Shahidul Alam  </t>
  </si>
  <si>
    <t>Jr. Executive</t>
  </si>
  <si>
    <t>Software Development</t>
  </si>
  <si>
    <t>Sakib</t>
  </si>
  <si>
    <t>014369</t>
  </si>
  <si>
    <t xml:space="preserve">Md. Rafez Hossain  </t>
  </si>
  <si>
    <t>Manager</t>
  </si>
  <si>
    <t>UI/UX</t>
  </si>
  <si>
    <t>L-1</t>
  </si>
  <si>
    <t>014413</t>
  </si>
  <si>
    <t xml:space="preserve">Mohammad Akif  </t>
  </si>
  <si>
    <t>Executive</t>
  </si>
  <si>
    <t>Resigned. 28th July 2025</t>
  </si>
  <si>
    <t>014543</t>
  </si>
  <si>
    <t>Md. Shihab Uddin</t>
  </si>
  <si>
    <t>014638</t>
  </si>
  <si>
    <t xml:space="preserve">Md. Ataur Rahaman  </t>
  </si>
  <si>
    <t>Tanbir</t>
  </si>
  <si>
    <t>014670</t>
  </si>
  <si>
    <t xml:space="preserve">Md. Yeamin Hasan  </t>
  </si>
  <si>
    <t>Quality Assurance</t>
  </si>
  <si>
    <t>Asim</t>
  </si>
  <si>
    <t>014671</t>
  </si>
  <si>
    <t xml:space="preserve">Jesan Karim  </t>
  </si>
  <si>
    <t>Research &amp; Development (R&amp;D)</t>
  </si>
  <si>
    <t>014703</t>
  </si>
  <si>
    <t xml:space="preserve">Salauddin Tapu  </t>
  </si>
  <si>
    <t>Jr. Machine Learning Engineer</t>
  </si>
  <si>
    <t>Sana</t>
  </si>
  <si>
    <t>014771</t>
  </si>
  <si>
    <t xml:space="preserve">Noyon Kumar Sarkar  </t>
  </si>
  <si>
    <t>Resigned 3rd August 2025</t>
  </si>
  <si>
    <t>014780</t>
  </si>
  <si>
    <t xml:space="preserve">Md. Saidul Islam  </t>
  </si>
  <si>
    <t>Asst. Manager</t>
  </si>
  <si>
    <t>Rafez</t>
  </si>
  <si>
    <t>014930</t>
  </si>
  <si>
    <t xml:space="preserve">Tapash Paul  </t>
  </si>
  <si>
    <t>014966</t>
  </si>
  <si>
    <t xml:space="preserve">Shahin Alam  </t>
  </si>
  <si>
    <t>014986</t>
  </si>
  <si>
    <t xml:space="preserve">Arif  </t>
  </si>
  <si>
    <t>Sr. Executive</t>
  </si>
  <si>
    <t>015007</t>
  </si>
  <si>
    <t xml:space="preserve">Roknuzzaman Fahim  </t>
  </si>
  <si>
    <t>015044</t>
  </si>
  <si>
    <t xml:space="preserve">Md. Sahenul Islam Chowdhury  </t>
  </si>
  <si>
    <t>Himel</t>
  </si>
  <si>
    <t>015061</t>
  </si>
  <si>
    <t xml:space="preserve">Shahed Ahamed  </t>
  </si>
  <si>
    <t>015074</t>
  </si>
  <si>
    <t xml:space="preserve">Md. Ahsan Amin  </t>
  </si>
  <si>
    <t>015109</t>
  </si>
  <si>
    <t xml:space="preserve">Mohammad Asaduzzaman  </t>
  </si>
  <si>
    <t>015143</t>
  </si>
  <si>
    <t xml:space="preserve">Asif Iftekhar Pial  </t>
  </si>
  <si>
    <t>015235</t>
  </si>
  <si>
    <t xml:space="preserve">Mashyaat Shafia Chowdhury  </t>
  </si>
  <si>
    <t>Resigned 28th July 2025</t>
  </si>
  <si>
    <t>015236</t>
  </si>
  <si>
    <t xml:space="preserve">Kazi Faiz Ahmed Sadnan  </t>
  </si>
  <si>
    <t>015237</t>
  </si>
  <si>
    <t xml:space="preserve">Md. Ahsan Habib  </t>
  </si>
  <si>
    <t>015344</t>
  </si>
  <si>
    <t>Bushra Tabassum</t>
  </si>
  <si>
    <t>015458</t>
  </si>
  <si>
    <t>Md. Abu Sayed</t>
  </si>
  <si>
    <t>015603</t>
  </si>
  <si>
    <t>Mushfique Rahman</t>
  </si>
  <si>
    <t>Resigned 30th July 2025</t>
  </si>
  <si>
    <t>015604</t>
  </si>
  <si>
    <t>Mohammad Abid Miah</t>
  </si>
  <si>
    <t>015602</t>
  </si>
  <si>
    <t>Mahjabin Binte Mannan</t>
  </si>
  <si>
    <t>015026</t>
  </si>
  <si>
    <t>Kader Khan</t>
  </si>
  <si>
    <t>Nasir</t>
  </si>
  <si>
    <t>015821</t>
  </si>
  <si>
    <t>Sakibul Hasan</t>
  </si>
  <si>
    <t>Anirban</t>
  </si>
  <si>
    <t>015854</t>
  </si>
  <si>
    <t>Sabiha Nasrin Jyoti</t>
  </si>
  <si>
    <t>015868</t>
  </si>
  <si>
    <t>Fatin Noor</t>
  </si>
  <si>
    <t>015869</t>
  </si>
  <si>
    <t>Md. Ismail Jobi Ullah</t>
  </si>
  <si>
    <t>015899</t>
  </si>
  <si>
    <t>Maliha Mehjabin Mitu</t>
  </si>
  <si>
    <t>015982</t>
  </si>
  <si>
    <t>Sunjida Afrin</t>
  </si>
  <si>
    <t>016227</t>
  </si>
  <si>
    <t>Md. Shimul Mahmud</t>
  </si>
  <si>
    <t xml:space="preserve"> 15- Mar-25</t>
  </si>
  <si>
    <t>DevOps</t>
  </si>
  <si>
    <t>Jashim</t>
  </si>
  <si>
    <t>016202</t>
  </si>
  <si>
    <t>Md. Habibur Rahman Nayan</t>
  </si>
  <si>
    <t>016203</t>
  </si>
  <si>
    <t>Md. Arbin Zaman</t>
  </si>
  <si>
    <t>016204</t>
  </si>
  <si>
    <t>Md Arifur Rahman</t>
  </si>
  <si>
    <t>016263</t>
  </si>
  <si>
    <t>MD. Mahedi Hasan</t>
  </si>
  <si>
    <t>016297</t>
  </si>
  <si>
    <t>Md. Reazul Islam</t>
  </si>
  <si>
    <t>016372</t>
  </si>
  <si>
    <t>Obayed Bin mahfuz</t>
  </si>
  <si>
    <t xml:space="preserve">016532 </t>
  </si>
  <si>
    <t>Dipok Ray</t>
  </si>
  <si>
    <t>016268</t>
  </si>
  <si>
    <t xml:space="preserve">Md. Ashikur Rahman </t>
  </si>
  <si>
    <t>016833</t>
  </si>
  <si>
    <t xml:space="preserve"> Lailafin Nahar Tithy</t>
  </si>
  <si>
    <t>New Joiner</t>
  </si>
  <si>
    <t>016834</t>
  </si>
  <si>
    <t>Ahmed Anan</t>
  </si>
  <si>
    <t>016887</t>
  </si>
  <si>
    <t xml:space="preserve"> Zarin Tasnim</t>
  </si>
  <si>
    <t>016886</t>
  </si>
  <si>
    <t>Md Rezaul Karim</t>
  </si>
  <si>
    <t>Individual Task</t>
  </si>
  <si>
    <t>Team KPI</t>
  </si>
  <si>
    <t>Stakeholder &amp; HR Review</t>
  </si>
  <si>
    <t>Team Retention &amp; Develoment</t>
  </si>
  <si>
    <t>EmployeeTurnover Rate</t>
  </si>
  <si>
    <t>012967</t>
  </si>
  <si>
    <t xml:space="preserve">Tanveer Ahmed  </t>
  </si>
  <si>
    <t>014422</t>
  </si>
  <si>
    <t xml:space="preserve">Mehearaz Uddin Himel  </t>
  </si>
  <si>
    <t>012752</t>
  </si>
  <si>
    <t xml:space="preserve">Sourav Saha  </t>
  </si>
  <si>
    <t>L-2</t>
  </si>
  <si>
    <t>Employee Turnover Rate</t>
  </si>
  <si>
    <t>013812</t>
  </si>
  <si>
    <t xml:space="preserve">Asim Ibne Ilyus  </t>
  </si>
  <si>
    <t>014851</t>
  </si>
  <si>
    <t xml:space="preserve">M.A. Muhaimin Sakib  </t>
  </si>
  <si>
    <t>016257</t>
  </si>
  <si>
    <t>Jasim Alam</t>
  </si>
  <si>
    <t>DMD 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</si>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</sst>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sz val="9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1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1" applyNumberFormat="1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3" fontId="5" fillId="3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readingOrder="1"/>
    </xf>
    <xf numFmtId="165" fontId="6" fillId="0" borderId="1" xfId="0" applyNumberFormat="1" applyFont="1" applyBorder="1" applyAlignment="1">
      <alignment horizontal="center" vertical="center" wrapText="1" readingOrder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2" fontId="7" fillId="0" borderId="1" xfId="0" applyNumberFormat="1" applyFont="1" applyBorder="1"/>
    <xf numFmtId="43" fontId="4" fillId="0" borderId="1" xfId="1" applyFont="1" applyBorder="1" applyAlignment="1">
      <alignment vertical="center"/>
    </xf>
    <xf numFmtId="9" fontId="4" fillId="0" borderId="0" xfId="2" applyFont="1" applyAlignment="1">
      <alignment vertical="center"/>
    </xf>
    <xf numFmtId="0" fontId="6" fillId="4" borderId="1" xfId="0" applyFont="1" applyFill="1" applyBorder="1" applyAlignment="1">
      <alignment horizontal="left" vertical="center" wrapText="1" readingOrder="1"/>
    </xf>
    <xf numFmtId="2" fontId="4" fillId="0" borderId="0" xfId="2" applyNumberFormat="1" applyFont="1" applyAlignment="1">
      <alignment vertical="center"/>
    </xf>
    <xf numFmtId="0" fontId="6" fillId="0" borderId="4" xfId="0" applyFont="1" applyBorder="1" applyAlignment="1">
      <alignment horizontal="left" vertical="center" wrapText="1" readingOrder="1"/>
    </xf>
    <xf numFmtId="0" fontId="4" fillId="0" borderId="1" xfId="0" quotePrefix="1" applyFont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8" fillId="4" borderId="1" xfId="0" quotePrefix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4" borderId="1" xfId="0" quotePrefix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1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/>
    </xf>
    <xf numFmtId="0" fontId="9" fillId="0" borderId="3" xfId="0" quotePrefix="1" applyFont="1" applyBorder="1" applyAlignment="1">
      <alignment horizontal="left" vertical="center"/>
    </xf>
    <xf numFmtId="15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3" quotePrefix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1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3" fontId="4" fillId="4" borderId="1" xfId="1" applyFont="1" applyFill="1" applyBorder="1" applyAlignment="1">
      <alignment vertical="center"/>
    </xf>
    <xf numFmtId="0" fontId="11" fillId="5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 readingOrder="1"/>
    </xf>
    <xf numFmtId="0" fontId="11" fillId="0" borderId="1" xfId="0" applyFont="1" applyBorder="1" applyAlignment="1">
      <alignment horizontal="left" vertical="center"/>
    </xf>
    <xf numFmtId="0" fontId="11" fillId="0" borderId="1" xfId="0" quotePrefix="1" applyFont="1" applyBorder="1" applyAlignment="1">
      <alignment horizontal="left" vertical="center"/>
    </xf>
    <xf numFmtId="164" fontId="4" fillId="0" borderId="0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5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3" fontId="4" fillId="0" borderId="0" xfId="1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43" fontId="5" fillId="3" borderId="1" xfId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164" fontId="4" fillId="0" borderId="1" xfId="1" applyNumberFormat="1" applyFont="1" applyBorder="1" applyAlignment="1">
      <alignment vertical="center"/>
    </xf>
    <xf numFmtId="43" fontId="4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 readingOrder="1"/>
    </xf>
    <xf numFmtId="2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43" fontId="4" fillId="0" borderId="0" xfId="1" applyFont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3" xfId="3" xr:uid="{4C53EE8B-2E8A-4DE5-A7C1-074BBCC4807E}"/>
    <cellStyle name="Percent" xfId="2" builtinId="5"/>
  </cellStyles>
  <dxfs count="1">
    <dxf>
      <font>
        <color theme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eb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179298</xdr:colOff>
      <xdr:row>0</xdr:row>
      <xdr:rowOff>0</xdr:rowOff>
    </xdr:from>
    <xdr:to>
      <xdr:col>17</xdr:col>
      <xdr:colOff>476252</xdr:colOff>
      <xdr:row>2</xdr:row>
      <xdr:rowOff>56808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A7324D-715B-468E-9A61-BC4612924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9448" y="0"/>
          <a:ext cx="754154" cy="425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34C0-CA45-43A3-9297-6573DE9D7002}">
  <dimension ref="B1:U63"/>
  <sheetViews>
    <sheetView showGridLines="0" tabSelected="1" topLeftCell="C1" workbookViewId="0">
      <selection activeCell="M64" sqref="M64"/>
    </sheetView>
  </sheetViews>
  <sheetFormatPr defaultColWidth="8.7109375" defaultRowHeight="24" customHeight="1" x14ac:dyDescent="0.25"/>
  <cols>
    <col min="1" max="1" width="1.85546875" style="11" customWidth="1"/>
    <col min="2" max="2" width="4.42578125" style="61" customWidth="1"/>
    <col min="3" max="3" width="5.7109375" style="11" bestFit="1" customWidth="1"/>
    <col min="4" max="4" width="19.42578125" style="11" customWidth="1"/>
    <col min="5" max="5" width="10.7109375" style="61" bestFit="1" customWidth="1"/>
    <col min="6" max="6" width="6.5703125" style="11" customWidth="1"/>
    <col min="7" max="7" width="13.42578125" style="11" bestFit="1" customWidth="1"/>
    <col min="8" max="8" width="20.85546875" style="11" bestFit="1" customWidth="1"/>
    <col min="9" max="9" width="22.28515625" style="75" bestFit="1" customWidth="1"/>
    <col min="10" max="10" width="7.85546875" style="11" bestFit="1" customWidth="1"/>
    <col min="11" max="11" width="10.7109375" style="11" bestFit="1" customWidth="1"/>
    <col min="12" max="12" width="7.42578125" style="11" bestFit="1" customWidth="1"/>
    <col min="13" max="13" width="12.42578125" style="11" bestFit="1" customWidth="1"/>
    <col min="14" max="14" width="13.85546875" style="11" bestFit="1" customWidth="1"/>
    <col min="15" max="15" width="13" style="11" bestFit="1" customWidth="1"/>
    <col min="16" max="16" width="10.28515625" style="76" bestFit="1" customWidth="1"/>
    <col min="17" max="17" width="6.5703125" style="11" bestFit="1" customWidth="1"/>
    <col min="18" max="18" width="17.85546875" style="11" bestFit="1" customWidth="1"/>
    <col min="19" max="19" width="6.42578125" style="11" bestFit="1" customWidth="1"/>
    <col min="20" max="20" width="9.42578125" style="12" customWidth="1"/>
    <col min="21" max="21" width="6.140625" style="11" customWidth="1"/>
    <col min="22" max="22" width="4.5703125" style="11" customWidth="1"/>
    <col min="23" max="16384" width="8.7109375" style="11"/>
  </cols>
  <sheetData>
    <row r="1" spans="2:21" s="2" customFormat="1" ht="24" customHeight="1" x14ac:dyDescent="0.25">
      <c r="B1" s="1"/>
      <c r="E1" s="1"/>
      <c r="I1" s="3"/>
      <c r="K1" s="77" t="s">
        <v>0</v>
      </c>
      <c r="L1" s="77"/>
      <c r="M1" s="77"/>
      <c r="N1" s="77"/>
      <c r="O1" s="77"/>
      <c r="P1" s="77"/>
      <c r="T1" s="4"/>
    </row>
    <row r="2" spans="2:21" ht="24" customHeight="1" x14ac:dyDescent="0.25">
      <c r="B2" s="5" t="s">
        <v>1</v>
      </c>
      <c r="C2" s="5"/>
      <c r="D2" s="5"/>
      <c r="E2" s="6"/>
      <c r="F2" s="5"/>
      <c r="G2" s="5"/>
      <c r="H2" s="5"/>
      <c r="I2" s="7"/>
      <c r="J2" s="8" t="s">
        <v>2</v>
      </c>
      <c r="K2" s="9">
        <v>50</v>
      </c>
      <c r="L2" s="9">
        <v>15</v>
      </c>
      <c r="M2" s="9">
        <v>20</v>
      </c>
      <c r="N2" s="9">
        <v>5</v>
      </c>
      <c r="O2" s="9">
        <v>10</v>
      </c>
      <c r="P2" s="10">
        <v>100</v>
      </c>
    </row>
    <row r="3" spans="2:21" s="16" customFormat="1" ht="24" customHeight="1" x14ac:dyDescent="0.25"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15" t="s">
        <v>17</v>
      </c>
      <c r="Q3" s="13" t="s">
        <v>18</v>
      </c>
      <c r="R3" s="13" t="s">
        <v>19</v>
      </c>
      <c r="T3" s="17"/>
    </row>
    <row r="4" spans="2:21" ht="24" customHeight="1" x14ac:dyDescent="0.25">
      <c r="B4" s="18">
        <v>1</v>
      </c>
      <c r="C4" s="19" t="s">
        <v>20</v>
      </c>
      <c r="D4" s="19" t="s">
        <v>21</v>
      </c>
      <c r="E4" s="20">
        <v>44801</v>
      </c>
      <c r="F4" s="21">
        <f t="shared" ref="F4:F46" ca="1" si="0">TODAY()-E4</f>
        <v>1086</v>
      </c>
      <c r="G4" s="21" t="str">
        <f t="shared" ref="G4:G46" ca="1" si="1">DATEDIF(0,F4,"y")&amp;" years " &amp;DATEDIF(0,F4,"ym")&amp;" months "</f>
        <v xml:space="preserve">2 years 11 months </v>
      </c>
      <c r="H4" s="19" t="s">
        <v>22</v>
      </c>
      <c r="I4" s="19" t="s">
        <v>23</v>
      </c>
      <c r="J4" s="19" t="s">
        <v>24</v>
      </c>
      <c r="K4" s="22">
        <v>49</v>
      </c>
      <c r="L4" s="23">
        <v>15</v>
      </c>
      <c r="M4" s="22">
        <v>20</v>
      </c>
      <c r="N4" s="22">
        <v>4</v>
      </c>
      <c r="O4" s="24"/>
      <c r="P4" s="25">
        <f>SUM(K4:O4)</f>
        <v>88</v>
      </c>
      <c r="Q4" s="22"/>
      <c r="R4" s="22"/>
      <c r="S4" s="26"/>
      <c r="U4" s="26"/>
    </row>
    <row r="5" spans="2:21" ht="24" customHeight="1" x14ac:dyDescent="0.25">
      <c r="B5" s="18">
        <v>2</v>
      </c>
      <c r="C5" s="19" t="s">
        <v>25</v>
      </c>
      <c r="D5" s="27" t="s">
        <v>26</v>
      </c>
      <c r="E5" s="20">
        <v>45123</v>
      </c>
      <c r="F5" s="21">
        <f t="shared" ca="1" si="0"/>
        <v>764</v>
      </c>
      <c r="G5" s="21" t="str">
        <f t="shared" ca="1" si="1"/>
        <v xml:space="preserve">2 years 1 months </v>
      </c>
      <c r="H5" s="19" t="s">
        <v>27</v>
      </c>
      <c r="I5" s="19" t="s">
        <v>28</v>
      </c>
      <c r="J5" s="19" t="s">
        <v>29</v>
      </c>
      <c r="K5" s="22">
        <v>48</v>
      </c>
      <c r="L5" s="23">
        <v>14</v>
      </c>
      <c r="M5" s="22">
        <v>20</v>
      </c>
      <c r="N5" s="22">
        <v>4</v>
      </c>
      <c r="O5" s="25"/>
      <c r="P5" s="25">
        <f t="shared" ref="P5:P50" si="2">SUM(K5:O5)</f>
        <v>86</v>
      </c>
      <c r="Q5" s="22"/>
      <c r="R5" s="22"/>
      <c r="T5" s="11"/>
      <c r="U5" s="26"/>
    </row>
    <row r="6" spans="2:21" ht="24" customHeight="1" x14ac:dyDescent="0.25">
      <c r="B6" s="18">
        <v>3</v>
      </c>
      <c r="C6" s="19" t="s">
        <v>30</v>
      </c>
      <c r="D6" s="19" t="s">
        <v>31</v>
      </c>
      <c r="E6" s="20">
        <v>45133</v>
      </c>
      <c r="F6" s="21">
        <f t="shared" ca="1" si="0"/>
        <v>754</v>
      </c>
      <c r="G6" s="21" t="str">
        <f t="shared" ca="1" si="1"/>
        <v xml:space="preserve">2 years 0 months </v>
      </c>
      <c r="H6" s="19" t="s">
        <v>32</v>
      </c>
      <c r="I6" s="19" t="s">
        <v>23</v>
      </c>
      <c r="J6" s="19" t="s">
        <v>24</v>
      </c>
      <c r="K6" s="22">
        <v>47</v>
      </c>
      <c r="L6" s="23">
        <v>14</v>
      </c>
      <c r="M6" s="22">
        <v>18</v>
      </c>
      <c r="N6" s="22">
        <v>4</v>
      </c>
      <c r="O6" s="25"/>
      <c r="P6" s="25">
        <f t="shared" si="2"/>
        <v>83</v>
      </c>
      <c r="Q6" s="22"/>
      <c r="R6" s="22" t="s">
        <v>33</v>
      </c>
      <c r="S6" s="26"/>
      <c r="U6" s="26"/>
    </row>
    <row r="7" spans="2:21" ht="24" customHeight="1" x14ac:dyDescent="0.25">
      <c r="B7" s="18">
        <v>4</v>
      </c>
      <c r="C7" s="19" t="s">
        <v>34</v>
      </c>
      <c r="D7" s="19" t="s">
        <v>35</v>
      </c>
      <c r="E7" s="20">
        <v>45172</v>
      </c>
      <c r="F7" s="21">
        <f t="shared" ca="1" si="0"/>
        <v>715</v>
      </c>
      <c r="G7" s="21" t="str">
        <f t="shared" ca="1" si="1"/>
        <v xml:space="preserve">1 years 11 months </v>
      </c>
      <c r="H7" s="19" t="s">
        <v>32</v>
      </c>
      <c r="I7" s="19" t="s">
        <v>23</v>
      </c>
      <c r="J7" s="19" t="s">
        <v>24</v>
      </c>
      <c r="K7" s="22">
        <v>50</v>
      </c>
      <c r="L7" s="23">
        <v>15</v>
      </c>
      <c r="M7" s="22">
        <v>20</v>
      </c>
      <c r="N7" s="22">
        <v>4</v>
      </c>
      <c r="O7" s="25"/>
      <c r="P7" s="25">
        <f t="shared" si="2"/>
        <v>89</v>
      </c>
      <c r="Q7" s="22"/>
      <c r="R7" s="22"/>
      <c r="S7" s="26"/>
      <c r="U7" s="26"/>
    </row>
    <row r="8" spans="2:21" ht="24" customHeight="1" x14ac:dyDescent="0.25">
      <c r="B8" s="18">
        <v>5</v>
      </c>
      <c r="C8" s="19" t="s">
        <v>36</v>
      </c>
      <c r="D8" s="19" t="s">
        <v>37</v>
      </c>
      <c r="E8" s="20">
        <v>45214</v>
      </c>
      <c r="F8" s="21">
        <f t="shared" ca="1" si="0"/>
        <v>673</v>
      </c>
      <c r="G8" s="21" t="str">
        <f t="shared" ca="1" si="1"/>
        <v xml:space="preserve">1 years 10 months </v>
      </c>
      <c r="H8" s="19" t="s">
        <v>32</v>
      </c>
      <c r="I8" s="19" t="s">
        <v>23</v>
      </c>
      <c r="J8" s="19" t="s">
        <v>38</v>
      </c>
      <c r="K8" s="22">
        <v>47</v>
      </c>
      <c r="L8" s="23">
        <v>13</v>
      </c>
      <c r="M8" s="22">
        <v>17</v>
      </c>
      <c r="N8" s="22">
        <v>4</v>
      </c>
      <c r="O8" s="25"/>
      <c r="P8" s="25">
        <f t="shared" si="2"/>
        <v>81</v>
      </c>
      <c r="Q8" s="22"/>
      <c r="R8" s="22"/>
      <c r="S8" s="26"/>
      <c r="U8" s="26"/>
    </row>
    <row r="9" spans="2:21" ht="24" customHeight="1" x14ac:dyDescent="0.25">
      <c r="B9" s="18">
        <v>6</v>
      </c>
      <c r="C9" s="19" t="s">
        <v>39</v>
      </c>
      <c r="D9" s="19" t="s">
        <v>40</v>
      </c>
      <c r="E9" s="20">
        <v>45221</v>
      </c>
      <c r="F9" s="21">
        <f t="shared" ca="1" si="0"/>
        <v>666</v>
      </c>
      <c r="G9" s="21" t="str">
        <f t="shared" ca="1" si="1"/>
        <v xml:space="preserve">1 years 9 months </v>
      </c>
      <c r="H9" s="19" t="s">
        <v>22</v>
      </c>
      <c r="I9" s="19" t="s">
        <v>41</v>
      </c>
      <c r="J9" s="19" t="s">
        <v>42</v>
      </c>
      <c r="K9" s="22">
        <v>49</v>
      </c>
      <c r="L9" s="23">
        <v>14</v>
      </c>
      <c r="M9" s="22">
        <v>18</v>
      </c>
      <c r="N9" s="22">
        <v>4</v>
      </c>
      <c r="O9" s="25"/>
      <c r="P9" s="25">
        <f t="shared" si="2"/>
        <v>85</v>
      </c>
      <c r="Q9" s="22"/>
      <c r="R9" s="22"/>
      <c r="S9" s="26"/>
      <c r="T9" s="28"/>
      <c r="U9" s="26"/>
    </row>
    <row r="10" spans="2:21" ht="24" customHeight="1" x14ac:dyDescent="0.25">
      <c r="B10" s="18">
        <v>7</v>
      </c>
      <c r="C10" s="19" t="s">
        <v>43</v>
      </c>
      <c r="D10" s="19" t="s">
        <v>44</v>
      </c>
      <c r="E10" s="20">
        <v>45221</v>
      </c>
      <c r="F10" s="21">
        <f t="shared" ca="1" si="0"/>
        <v>666</v>
      </c>
      <c r="G10" s="21" t="str">
        <f t="shared" ca="1" si="1"/>
        <v xml:space="preserve">1 years 9 months </v>
      </c>
      <c r="H10" s="19" t="s">
        <v>22</v>
      </c>
      <c r="I10" s="19" t="s">
        <v>45</v>
      </c>
      <c r="J10" s="19" t="s">
        <v>42</v>
      </c>
      <c r="K10" s="22">
        <v>50</v>
      </c>
      <c r="L10" s="23">
        <v>15</v>
      </c>
      <c r="M10" s="22">
        <v>20</v>
      </c>
      <c r="N10" s="22">
        <v>4</v>
      </c>
      <c r="O10" s="25"/>
      <c r="P10" s="25">
        <f t="shared" si="2"/>
        <v>89</v>
      </c>
      <c r="Q10" s="22"/>
      <c r="R10" s="22"/>
      <c r="S10" s="26"/>
      <c r="U10" s="26"/>
    </row>
    <row r="11" spans="2:21" ht="24" customHeight="1" x14ac:dyDescent="0.25">
      <c r="B11" s="18">
        <v>8</v>
      </c>
      <c r="C11" s="19" t="s">
        <v>46</v>
      </c>
      <c r="D11" s="19" t="s">
        <v>47</v>
      </c>
      <c r="E11" s="20">
        <v>45243</v>
      </c>
      <c r="F11" s="21">
        <f t="shared" ca="1" si="0"/>
        <v>644</v>
      </c>
      <c r="G11" s="21" t="str">
        <f t="shared" ca="1" si="1"/>
        <v xml:space="preserve">1 years 9 months </v>
      </c>
      <c r="H11" s="19" t="s">
        <v>48</v>
      </c>
      <c r="I11" s="19" t="s">
        <v>23</v>
      </c>
      <c r="J11" s="19" t="s">
        <v>49</v>
      </c>
      <c r="K11" s="22">
        <v>45</v>
      </c>
      <c r="L11" s="23">
        <v>13</v>
      </c>
      <c r="M11" s="22">
        <v>20</v>
      </c>
      <c r="N11" s="22">
        <v>4</v>
      </c>
      <c r="O11" s="25"/>
      <c r="P11" s="25">
        <f t="shared" si="2"/>
        <v>82</v>
      </c>
      <c r="Q11" s="22"/>
      <c r="R11" s="22"/>
      <c r="S11" s="26"/>
      <c r="U11" s="26"/>
    </row>
    <row r="12" spans="2:21" ht="24" customHeight="1" x14ac:dyDescent="0.25">
      <c r="B12" s="18">
        <v>9</v>
      </c>
      <c r="C12" s="19" t="s">
        <v>50</v>
      </c>
      <c r="D12" s="19" t="s">
        <v>51</v>
      </c>
      <c r="E12" s="20">
        <v>45243</v>
      </c>
      <c r="F12" s="21">
        <f t="shared" ca="1" si="0"/>
        <v>644</v>
      </c>
      <c r="G12" s="21" t="str">
        <f t="shared" ca="1" si="1"/>
        <v xml:space="preserve">1 years 9 months </v>
      </c>
      <c r="H12" s="19" t="s">
        <v>48</v>
      </c>
      <c r="I12" s="19" t="s">
        <v>23</v>
      </c>
      <c r="J12" s="19" t="s">
        <v>49</v>
      </c>
      <c r="K12" s="22">
        <v>44</v>
      </c>
      <c r="L12" s="23">
        <v>14</v>
      </c>
      <c r="M12" s="22">
        <v>18</v>
      </c>
      <c r="N12" s="22">
        <v>4</v>
      </c>
      <c r="O12" s="25"/>
      <c r="P12" s="25">
        <f t="shared" si="2"/>
        <v>80</v>
      </c>
      <c r="Q12" s="22"/>
      <c r="R12" s="22" t="s">
        <v>52</v>
      </c>
      <c r="T12" s="11"/>
      <c r="U12" s="26"/>
    </row>
    <row r="13" spans="2:21" ht="24" customHeight="1" x14ac:dyDescent="0.25">
      <c r="B13" s="18">
        <v>10</v>
      </c>
      <c r="C13" s="19" t="s">
        <v>53</v>
      </c>
      <c r="D13" s="19" t="s">
        <v>54</v>
      </c>
      <c r="E13" s="20">
        <v>45245</v>
      </c>
      <c r="F13" s="21">
        <f t="shared" ca="1" si="0"/>
        <v>642</v>
      </c>
      <c r="G13" s="21" t="str">
        <f t="shared" ca="1" si="1"/>
        <v xml:space="preserve">1 years 9 months </v>
      </c>
      <c r="H13" s="19" t="s">
        <v>55</v>
      </c>
      <c r="I13" s="19" t="s">
        <v>28</v>
      </c>
      <c r="J13" s="19" t="s">
        <v>56</v>
      </c>
      <c r="K13" s="22">
        <v>49</v>
      </c>
      <c r="L13" s="23">
        <v>15</v>
      </c>
      <c r="M13" s="22">
        <v>18</v>
      </c>
      <c r="N13" s="22">
        <v>4</v>
      </c>
      <c r="O13" s="25"/>
      <c r="P13" s="25">
        <f t="shared" si="2"/>
        <v>86</v>
      </c>
      <c r="Q13" s="22"/>
      <c r="R13" s="22"/>
      <c r="S13" s="26"/>
      <c r="U13" s="26"/>
    </row>
    <row r="14" spans="2:21" ht="24" customHeight="1" x14ac:dyDescent="0.25">
      <c r="B14" s="18">
        <v>11</v>
      </c>
      <c r="C14" s="19" t="s">
        <v>57</v>
      </c>
      <c r="D14" s="19" t="s">
        <v>58</v>
      </c>
      <c r="E14" s="20">
        <v>45339</v>
      </c>
      <c r="F14" s="21">
        <f t="shared" ca="1" si="0"/>
        <v>548</v>
      </c>
      <c r="G14" s="21" t="str">
        <f t="shared" ca="1" si="1"/>
        <v xml:space="preserve">1 years 6 months </v>
      </c>
      <c r="H14" s="19" t="s">
        <v>32</v>
      </c>
      <c r="I14" s="19" t="s">
        <v>23</v>
      </c>
      <c r="J14" s="19" t="s">
        <v>24</v>
      </c>
      <c r="K14" s="22">
        <v>48</v>
      </c>
      <c r="L14" s="23">
        <v>15</v>
      </c>
      <c r="M14" s="22">
        <v>19</v>
      </c>
      <c r="N14" s="22">
        <v>4</v>
      </c>
      <c r="O14" s="25"/>
      <c r="P14" s="25">
        <f t="shared" si="2"/>
        <v>86</v>
      </c>
      <c r="Q14" s="22"/>
      <c r="R14" s="22"/>
      <c r="S14" s="26"/>
      <c r="U14" s="26"/>
    </row>
    <row r="15" spans="2:21" ht="24" customHeight="1" x14ac:dyDescent="0.25">
      <c r="B15" s="18">
        <v>12</v>
      </c>
      <c r="C15" s="19" t="s">
        <v>59</v>
      </c>
      <c r="D15" s="19" t="s">
        <v>60</v>
      </c>
      <c r="E15" s="20">
        <v>45354</v>
      </c>
      <c r="F15" s="21">
        <f t="shared" ca="1" si="0"/>
        <v>533</v>
      </c>
      <c r="G15" s="21" t="str">
        <f t="shared" ca="1" si="1"/>
        <v xml:space="preserve">1 years 5 months </v>
      </c>
      <c r="H15" s="19" t="s">
        <v>32</v>
      </c>
      <c r="I15" s="19" t="s">
        <v>23</v>
      </c>
      <c r="J15" s="19" t="s">
        <v>24</v>
      </c>
      <c r="K15" s="22">
        <v>44</v>
      </c>
      <c r="L15" s="23">
        <v>18</v>
      </c>
      <c r="M15" s="22">
        <v>19</v>
      </c>
      <c r="N15" s="22">
        <v>4</v>
      </c>
      <c r="O15" s="25"/>
      <c r="P15" s="25">
        <f t="shared" si="2"/>
        <v>85</v>
      </c>
      <c r="Q15" s="22"/>
      <c r="R15" s="22"/>
      <c r="S15" s="26"/>
      <c r="U15" s="26"/>
    </row>
    <row r="16" spans="2:21" ht="24" customHeight="1" x14ac:dyDescent="0.25">
      <c r="B16" s="18">
        <v>13</v>
      </c>
      <c r="C16" s="29" t="s">
        <v>61</v>
      </c>
      <c r="D16" s="19" t="s">
        <v>62</v>
      </c>
      <c r="E16" s="20">
        <v>45369</v>
      </c>
      <c r="F16" s="21">
        <f t="shared" ca="1" si="0"/>
        <v>518</v>
      </c>
      <c r="G16" s="21" t="str">
        <f t="shared" ca="1" si="1"/>
        <v xml:space="preserve">1 years 5 months </v>
      </c>
      <c r="H16" s="19" t="s">
        <v>63</v>
      </c>
      <c r="I16" s="19" t="s">
        <v>23</v>
      </c>
      <c r="J16" s="19" t="s">
        <v>24</v>
      </c>
      <c r="K16" s="22">
        <v>47</v>
      </c>
      <c r="L16" s="23">
        <v>14</v>
      </c>
      <c r="M16" s="22">
        <v>18</v>
      </c>
      <c r="N16" s="22">
        <v>4</v>
      </c>
      <c r="O16" s="25"/>
      <c r="P16" s="25">
        <f t="shared" si="2"/>
        <v>83</v>
      </c>
      <c r="Q16" s="22"/>
      <c r="R16" s="22"/>
      <c r="S16" s="26"/>
      <c r="U16" s="26"/>
    </row>
    <row r="17" spans="2:21" ht="24" customHeight="1" x14ac:dyDescent="0.25">
      <c r="B17" s="18">
        <v>14</v>
      </c>
      <c r="C17" s="19" t="s">
        <v>64</v>
      </c>
      <c r="D17" s="19" t="s">
        <v>65</v>
      </c>
      <c r="E17" s="20">
        <v>45379</v>
      </c>
      <c r="F17" s="21">
        <f t="shared" ca="1" si="0"/>
        <v>508</v>
      </c>
      <c r="G17" s="21" t="str">
        <f t="shared" ca="1" si="1"/>
        <v xml:space="preserve">1 years 4 months </v>
      </c>
      <c r="H17" s="19" t="s">
        <v>22</v>
      </c>
      <c r="I17" s="19" t="s">
        <v>45</v>
      </c>
      <c r="J17" s="19" t="s">
        <v>42</v>
      </c>
      <c r="K17" s="22">
        <v>49</v>
      </c>
      <c r="L17" s="23">
        <v>14</v>
      </c>
      <c r="M17" s="22">
        <v>20</v>
      </c>
      <c r="N17" s="22">
        <v>4</v>
      </c>
      <c r="O17" s="25"/>
      <c r="P17" s="25">
        <f t="shared" si="2"/>
        <v>87</v>
      </c>
      <c r="Q17" s="22"/>
      <c r="R17" s="22"/>
      <c r="S17" s="26"/>
      <c r="U17" s="26"/>
    </row>
    <row r="18" spans="2:21" ht="24" customHeight="1" x14ac:dyDescent="0.25">
      <c r="B18" s="18">
        <v>15</v>
      </c>
      <c r="C18" s="19" t="s">
        <v>66</v>
      </c>
      <c r="D18" s="19" t="s">
        <v>67</v>
      </c>
      <c r="E18" s="20">
        <v>45409</v>
      </c>
      <c r="F18" s="21">
        <f t="shared" ca="1" si="0"/>
        <v>478</v>
      </c>
      <c r="G18" s="21" t="str">
        <f t="shared" ca="1" si="1"/>
        <v xml:space="preserve">1 years 3 months </v>
      </c>
      <c r="H18" s="19" t="s">
        <v>22</v>
      </c>
      <c r="I18" s="19" t="s">
        <v>23</v>
      </c>
      <c r="J18" s="19" t="s">
        <v>68</v>
      </c>
      <c r="K18" s="22">
        <v>46</v>
      </c>
      <c r="L18" s="23">
        <v>13</v>
      </c>
      <c r="M18" s="22">
        <v>15</v>
      </c>
      <c r="N18" s="22">
        <v>3.5</v>
      </c>
      <c r="O18" s="25"/>
      <c r="P18" s="25">
        <f t="shared" si="2"/>
        <v>77.5</v>
      </c>
      <c r="Q18" s="22"/>
      <c r="R18" s="22"/>
      <c r="S18" s="26"/>
      <c r="U18" s="26"/>
    </row>
    <row r="19" spans="2:21" ht="24" customHeight="1" x14ac:dyDescent="0.25">
      <c r="B19" s="18">
        <v>16</v>
      </c>
      <c r="C19" s="19" t="s">
        <v>69</v>
      </c>
      <c r="D19" s="19" t="s">
        <v>70</v>
      </c>
      <c r="E19" s="20">
        <v>45416</v>
      </c>
      <c r="F19" s="21">
        <f t="shared" ca="1" si="0"/>
        <v>471</v>
      </c>
      <c r="G19" s="21" t="str">
        <f t="shared" ca="1" si="1"/>
        <v xml:space="preserve">1 years 3 months </v>
      </c>
      <c r="H19" s="19" t="s">
        <v>32</v>
      </c>
      <c r="I19" s="19" t="s">
        <v>23</v>
      </c>
      <c r="J19" s="19" t="s">
        <v>24</v>
      </c>
      <c r="K19" s="22">
        <v>47</v>
      </c>
      <c r="L19" s="23">
        <v>14</v>
      </c>
      <c r="M19" s="22">
        <v>19</v>
      </c>
      <c r="N19" s="22">
        <v>4</v>
      </c>
      <c r="O19" s="25"/>
      <c r="P19" s="25">
        <f t="shared" si="2"/>
        <v>84</v>
      </c>
      <c r="Q19" s="22"/>
      <c r="R19" s="22"/>
      <c r="S19" s="26"/>
      <c r="U19" s="26"/>
    </row>
    <row r="20" spans="2:21" ht="24" customHeight="1" x14ac:dyDescent="0.25">
      <c r="B20" s="18">
        <v>17</v>
      </c>
      <c r="C20" s="19" t="s">
        <v>71</v>
      </c>
      <c r="D20" s="19" t="s">
        <v>72</v>
      </c>
      <c r="E20" s="20">
        <v>45421</v>
      </c>
      <c r="F20" s="21">
        <f t="shared" ca="1" si="0"/>
        <v>466</v>
      </c>
      <c r="G20" s="21" t="str">
        <f t="shared" ca="1" si="1"/>
        <v xml:space="preserve">1 years 3 months </v>
      </c>
      <c r="H20" s="19" t="s">
        <v>22</v>
      </c>
      <c r="I20" s="19" t="s">
        <v>23</v>
      </c>
      <c r="J20" s="19" t="s">
        <v>24</v>
      </c>
      <c r="K20" s="22">
        <v>50</v>
      </c>
      <c r="L20" s="23">
        <v>15</v>
      </c>
      <c r="M20" s="22">
        <v>20</v>
      </c>
      <c r="N20" s="22">
        <v>4.5</v>
      </c>
      <c r="O20" s="25"/>
      <c r="P20" s="25">
        <f t="shared" si="2"/>
        <v>89.5</v>
      </c>
      <c r="Q20" s="22"/>
      <c r="R20" s="22"/>
      <c r="S20" s="26"/>
      <c r="U20" s="26"/>
    </row>
    <row r="21" spans="2:21" ht="24" customHeight="1" x14ac:dyDescent="0.25">
      <c r="B21" s="18">
        <v>18</v>
      </c>
      <c r="C21" s="19" t="s">
        <v>73</v>
      </c>
      <c r="D21" s="19" t="s">
        <v>74</v>
      </c>
      <c r="E21" s="20">
        <v>45432</v>
      </c>
      <c r="F21" s="21">
        <f t="shared" ca="1" si="0"/>
        <v>455</v>
      </c>
      <c r="G21" s="21" t="str">
        <f t="shared" ca="1" si="1"/>
        <v xml:space="preserve">1 years 2 months </v>
      </c>
      <c r="H21" s="19" t="s">
        <v>32</v>
      </c>
      <c r="I21" s="19" t="s">
        <v>23</v>
      </c>
      <c r="J21" s="19" t="s">
        <v>24</v>
      </c>
      <c r="K21" s="22">
        <v>48</v>
      </c>
      <c r="L21" s="23">
        <v>13</v>
      </c>
      <c r="M21" s="22">
        <v>18</v>
      </c>
      <c r="N21" s="22">
        <v>4</v>
      </c>
      <c r="O21" s="25"/>
      <c r="P21" s="25">
        <f t="shared" si="2"/>
        <v>83</v>
      </c>
      <c r="Q21" s="22"/>
      <c r="R21" s="22"/>
      <c r="S21" s="26"/>
      <c r="U21" s="26"/>
    </row>
    <row r="22" spans="2:21" ht="24" customHeight="1" x14ac:dyDescent="0.25">
      <c r="B22" s="18">
        <v>19</v>
      </c>
      <c r="C22" s="19" t="s">
        <v>75</v>
      </c>
      <c r="D22" s="19" t="s">
        <v>76</v>
      </c>
      <c r="E22" s="20">
        <v>45441</v>
      </c>
      <c r="F22" s="21">
        <f t="shared" ca="1" si="0"/>
        <v>446</v>
      </c>
      <c r="G22" s="21" t="str">
        <f t="shared" ca="1" si="1"/>
        <v xml:space="preserve">1 years 2 months </v>
      </c>
      <c r="H22" s="19" t="s">
        <v>32</v>
      </c>
      <c r="I22" s="19" t="s">
        <v>23</v>
      </c>
      <c r="J22" s="19" t="s">
        <v>24</v>
      </c>
      <c r="K22" s="22">
        <v>47</v>
      </c>
      <c r="L22" s="23">
        <v>14</v>
      </c>
      <c r="M22" s="22">
        <v>14</v>
      </c>
      <c r="N22" s="22">
        <v>3.5</v>
      </c>
      <c r="O22" s="25"/>
      <c r="P22" s="25">
        <f t="shared" si="2"/>
        <v>78.5</v>
      </c>
      <c r="Q22" s="22"/>
      <c r="R22" s="22"/>
      <c r="S22" s="26"/>
      <c r="U22" s="26"/>
    </row>
    <row r="23" spans="2:21" ht="24" customHeight="1" x14ac:dyDescent="0.25">
      <c r="B23" s="18">
        <v>20</v>
      </c>
      <c r="C23" s="19" t="s">
        <v>77</v>
      </c>
      <c r="D23" s="19" t="s">
        <v>78</v>
      </c>
      <c r="E23" s="20">
        <v>45474</v>
      </c>
      <c r="F23" s="21">
        <f t="shared" ca="1" si="0"/>
        <v>413</v>
      </c>
      <c r="G23" s="21" t="str">
        <f t="shared" ca="1" si="1"/>
        <v xml:space="preserve">1 years 1 months </v>
      </c>
      <c r="H23" s="19" t="s">
        <v>22</v>
      </c>
      <c r="I23" s="19" t="s">
        <v>45</v>
      </c>
      <c r="J23" s="19" t="s">
        <v>42</v>
      </c>
      <c r="K23" s="22">
        <v>48.5</v>
      </c>
      <c r="L23" s="23">
        <v>15</v>
      </c>
      <c r="M23" s="22">
        <v>20</v>
      </c>
      <c r="N23" s="22">
        <v>4</v>
      </c>
      <c r="O23" s="25"/>
      <c r="P23" s="25">
        <f t="shared" si="2"/>
        <v>87.5</v>
      </c>
      <c r="Q23" s="22"/>
      <c r="R23" s="22" t="s">
        <v>79</v>
      </c>
      <c r="S23" s="26"/>
      <c r="U23" s="26"/>
    </row>
    <row r="24" spans="2:21" ht="24" customHeight="1" x14ac:dyDescent="0.25">
      <c r="B24" s="18">
        <v>21</v>
      </c>
      <c r="C24" s="19" t="s">
        <v>80</v>
      </c>
      <c r="D24" s="19" t="s">
        <v>81</v>
      </c>
      <c r="E24" s="20">
        <v>45474</v>
      </c>
      <c r="F24" s="21">
        <f t="shared" ca="1" si="0"/>
        <v>413</v>
      </c>
      <c r="G24" s="21" t="str">
        <f t="shared" ca="1" si="1"/>
        <v xml:space="preserve">1 years 1 months </v>
      </c>
      <c r="H24" s="19" t="s">
        <v>22</v>
      </c>
      <c r="I24" s="19" t="s">
        <v>45</v>
      </c>
      <c r="J24" s="19" t="s">
        <v>42</v>
      </c>
      <c r="K24" s="22">
        <v>48</v>
      </c>
      <c r="L24" s="23">
        <v>14</v>
      </c>
      <c r="M24" s="22">
        <v>20</v>
      </c>
      <c r="N24" s="22">
        <v>4</v>
      </c>
      <c r="O24" s="25"/>
      <c r="P24" s="25">
        <f t="shared" si="2"/>
        <v>86</v>
      </c>
      <c r="Q24" s="22"/>
      <c r="R24" s="22"/>
      <c r="S24" s="26"/>
      <c r="U24" s="26"/>
    </row>
    <row r="25" spans="2:21" ht="24" customHeight="1" x14ac:dyDescent="0.25">
      <c r="B25" s="18">
        <v>22</v>
      </c>
      <c r="C25" s="19" t="s">
        <v>82</v>
      </c>
      <c r="D25" s="19" t="s">
        <v>83</v>
      </c>
      <c r="E25" s="20">
        <v>45474</v>
      </c>
      <c r="F25" s="21">
        <f t="shared" ca="1" si="0"/>
        <v>413</v>
      </c>
      <c r="G25" s="21" t="str">
        <f t="shared" ca="1" si="1"/>
        <v xml:space="preserve">1 years 1 months </v>
      </c>
      <c r="H25" s="19" t="s">
        <v>32</v>
      </c>
      <c r="I25" s="19" t="s">
        <v>41</v>
      </c>
      <c r="J25" s="19" t="s">
        <v>42</v>
      </c>
      <c r="K25" s="22">
        <v>48</v>
      </c>
      <c r="L25" s="23">
        <v>15</v>
      </c>
      <c r="M25" s="22">
        <v>20</v>
      </c>
      <c r="N25" s="22">
        <v>4</v>
      </c>
      <c r="O25" s="25"/>
      <c r="P25" s="25">
        <f t="shared" si="2"/>
        <v>87</v>
      </c>
      <c r="Q25" s="22"/>
      <c r="R25" s="22"/>
      <c r="S25" s="26"/>
      <c r="U25" s="26"/>
    </row>
    <row r="26" spans="2:21" ht="24" customHeight="1" x14ac:dyDescent="0.25">
      <c r="B26" s="18">
        <v>23</v>
      </c>
      <c r="C26" s="19" t="s">
        <v>84</v>
      </c>
      <c r="D26" s="19" t="s">
        <v>85</v>
      </c>
      <c r="E26" s="20">
        <v>45517</v>
      </c>
      <c r="F26" s="21">
        <f t="shared" ca="1" si="0"/>
        <v>370</v>
      </c>
      <c r="G26" s="21" t="str">
        <f t="shared" ca="1" si="1"/>
        <v xml:space="preserve">1 years 0 months </v>
      </c>
      <c r="H26" s="19" t="s">
        <v>32</v>
      </c>
      <c r="I26" s="19" t="s">
        <v>45</v>
      </c>
      <c r="J26" s="19" t="s">
        <v>42</v>
      </c>
      <c r="K26" s="22">
        <v>47</v>
      </c>
      <c r="L26" s="23">
        <v>14</v>
      </c>
      <c r="M26" s="22">
        <v>20</v>
      </c>
      <c r="N26" s="22">
        <v>4</v>
      </c>
      <c r="O26" s="25"/>
      <c r="P26" s="25">
        <f t="shared" si="2"/>
        <v>85</v>
      </c>
      <c r="Q26" s="22"/>
      <c r="R26" s="22"/>
      <c r="S26" s="26"/>
      <c r="U26" s="26"/>
    </row>
    <row r="27" spans="2:21" ht="24" customHeight="1" x14ac:dyDescent="0.25">
      <c r="B27" s="18">
        <v>24</v>
      </c>
      <c r="C27" s="19" t="s">
        <v>86</v>
      </c>
      <c r="D27" s="27" t="s">
        <v>87</v>
      </c>
      <c r="E27" s="20">
        <v>45542</v>
      </c>
      <c r="F27" s="21">
        <f t="shared" ca="1" si="0"/>
        <v>345</v>
      </c>
      <c r="G27" s="21" t="str">
        <f t="shared" ca="1" si="1"/>
        <v xml:space="preserve">0 years 11 months </v>
      </c>
      <c r="H27" s="19" t="s">
        <v>27</v>
      </c>
      <c r="I27" s="19" t="s">
        <v>23</v>
      </c>
      <c r="J27" s="19" t="s">
        <v>29</v>
      </c>
      <c r="K27" s="22">
        <v>46</v>
      </c>
      <c r="L27" s="23">
        <v>14</v>
      </c>
      <c r="M27" s="22">
        <v>17</v>
      </c>
      <c r="N27" s="22">
        <v>3.5</v>
      </c>
      <c r="O27" s="25"/>
      <c r="P27" s="25">
        <f t="shared" si="2"/>
        <v>80.5</v>
      </c>
      <c r="Q27" s="22"/>
      <c r="R27" s="22"/>
      <c r="T27" s="11"/>
      <c r="U27" s="26"/>
    </row>
    <row r="28" spans="2:21" ht="24" customHeight="1" x14ac:dyDescent="0.25">
      <c r="B28" s="18">
        <v>25</v>
      </c>
      <c r="C28" s="19" t="s">
        <v>88</v>
      </c>
      <c r="D28" s="27" t="s">
        <v>89</v>
      </c>
      <c r="E28" s="20">
        <v>45545</v>
      </c>
      <c r="F28" s="21">
        <f t="shared" ca="1" si="0"/>
        <v>342</v>
      </c>
      <c r="G28" s="21" t="str">
        <f t="shared" ca="1" si="1"/>
        <v xml:space="preserve">0 years 11 months </v>
      </c>
      <c r="H28" s="19" t="s">
        <v>32</v>
      </c>
      <c r="I28" s="19" t="s">
        <v>45</v>
      </c>
      <c r="J28" s="19" t="s">
        <v>42</v>
      </c>
      <c r="K28" s="22">
        <v>49</v>
      </c>
      <c r="L28" s="23">
        <v>15</v>
      </c>
      <c r="M28" s="22">
        <v>20</v>
      </c>
      <c r="N28" s="22">
        <v>4</v>
      </c>
      <c r="O28" s="25"/>
      <c r="P28" s="25">
        <f t="shared" si="2"/>
        <v>88</v>
      </c>
      <c r="Q28" s="22"/>
      <c r="R28" s="22" t="s">
        <v>90</v>
      </c>
      <c r="S28" s="26"/>
      <c r="U28" s="26"/>
    </row>
    <row r="29" spans="2:21" ht="24" customHeight="1" x14ac:dyDescent="0.25">
      <c r="B29" s="18">
        <v>26</v>
      </c>
      <c r="C29" s="19" t="s">
        <v>91</v>
      </c>
      <c r="D29" s="19" t="s">
        <v>92</v>
      </c>
      <c r="E29" s="20">
        <v>45545</v>
      </c>
      <c r="F29" s="21">
        <f t="shared" ca="1" si="0"/>
        <v>342</v>
      </c>
      <c r="G29" s="21" t="str">
        <f t="shared" ca="1" si="1"/>
        <v xml:space="preserve">0 years 11 months </v>
      </c>
      <c r="H29" s="19" t="s">
        <v>32</v>
      </c>
      <c r="I29" s="19" t="s">
        <v>45</v>
      </c>
      <c r="J29" s="19" t="s">
        <v>42</v>
      </c>
      <c r="K29" s="22">
        <v>49</v>
      </c>
      <c r="L29" s="23">
        <v>15</v>
      </c>
      <c r="M29" s="22">
        <v>20</v>
      </c>
      <c r="N29" s="22">
        <v>4</v>
      </c>
      <c r="O29" s="25"/>
      <c r="P29" s="25">
        <f t="shared" si="2"/>
        <v>88</v>
      </c>
      <c r="Q29" s="22"/>
      <c r="R29" s="22"/>
      <c r="S29" s="26"/>
      <c r="U29" s="26"/>
    </row>
    <row r="30" spans="2:21" ht="24" customHeight="1" x14ac:dyDescent="0.25">
      <c r="B30" s="18">
        <v>27</v>
      </c>
      <c r="C30" s="30" t="s">
        <v>93</v>
      </c>
      <c r="D30" s="31" t="s">
        <v>94</v>
      </c>
      <c r="E30" s="20">
        <v>45560</v>
      </c>
      <c r="F30" s="21">
        <f t="shared" ca="1" si="0"/>
        <v>327</v>
      </c>
      <c r="G30" s="21" t="str">
        <f t="shared" ca="1" si="1"/>
        <v xml:space="preserve">0 years 10 months </v>
      </c>
      <c r="H30" s="19" t="s">
        <v>22</v>
      </c>
      <c r="I30" s="19" t="s">
        <v>23</v>
      </c>
      <c r="J30" s="19" t="s">
        <v>42</v>
      </c>
      <c r="K30" s="22">
        <v>50</v>
      </c>
      <c r="L30" s="23">
        <v>15</v>
      </c>
      <c r="M30" s="22">
        <v>20</v>
      </c>
      <c r="N30" s="22">
        <v>5</v>
      </c>
      <c r="O30" s="25"/>
      <c r="P30" s="25">
        <f t="shared" si="2"/>
        <v>90</v>
      </c>
      <c r="Q30" s="22"/>
      <c r="R30" s="22"/>
      <c r="S30" s="26"/>
      <c r="U30" s="26"/>
    </row>
    <row r="31" spans="2:21" ht="24" customHeight="1" x14ac:dyDescent="0.25">
      <c r="B31" s="18">
        <v>28</v>
      </c>
      <c r="C31" s="32" t="s">
        <v>95</v>
      </c>
      <c r="D31" s="33" t="s">
        <v>96</v>
      </c>
      <c r="E31" s="34">
        <v>45566</v>
      </c>
      <c r="F31" s="35">
        <f t="shared" ca="1" si="0"/>
        <v>321</v>
      </c>
      <c r="G31" s="35" t="str">
        <f t="shared" ca="1" si="1"/>
        <v xml:space="preserve">0 years 10 months </v>
      </c>
      <c r="H31" s="36" t="s">
        <v>22</v>
      </c>
      <c r="I31" s="19" t="s">
        <v>23</v>
      </c>
      <c r="J31" s="19" t="s">
        <v>97</v>
      </c>
      <c r="K31" s="22">
        <v>48</v>
      </c>
      <c r="L31" s="23">
        <v>14</v>
      </c>
      <c r="M31" s="22">
        <v>18</v>
      </c>
      <c r="N31" s="22">
        <v>3.5</v>
      </c>
      <c r="O31" s="25"/>
      <c r="P31" s="25">
        <f t="shared" si="2"/>
        <v>83.5</v>
      </c>
      <c r="Q31" s="22"/>
      <c r="R31" s="22"/>
      <c r="S31" s="26"/>
      <c r="U31" s="26"/>
    </row>
    <row r="32" spans="2:21" ht="24" customHeight="1" x14ac:dyDescent="0.25">
      <c r="B32" s="18">
        <v>29</v>
      </c>
      <c r="C32" s="37" t="s">
        <v>98</v>
      </c>
      <c r="D32" s="38" t="s">
        <v>99</v>
      </c>
      <c r="E32" s="39">
        <v>45634</v>
      </c>
      <c r="F32" s="40">
        <f t="shared" ca="1" si="0"/>
        <v>253</v>
      </c>
      <c r="G32" s="40" t="str">
        <f t="shared" ca="1" si="1"/>
        <v xml:space="preserve">0 years 8 months </v>
      </c>
      <c r="H32" s="41" t="s">
        <v>22</v>
      </c>
      <c r="I32" s="19" t="s">
        <v>23</v>
      </c>
      <c r="J32" s="22" t="s">
        <v>100</v>
      </c>
      <c r="K32" s="22">
        <v>47</v>
      </c>
      <c r="L32" s="23">
        <v>14</v>
      </c>
      <c r="M32" s="22">
        <v>19</v>
      </c>
      <c r="N32" s="22">
        <v>4</v>
      </c>
      <c r="O32" s="25"/>
      <c r="P32" s="25">
        <f t="shared" si="2"/>
        <v>84</v>
      </c>
      <c r="Q32" s="22"/>
      <c r="R32" s="22"/>
    </row>
    <row r="33" spans="2:18" ht="24" customHeight="1" x14ac:dyDescent="0.25">
      <c r="B33" s="18">
        <v>30</v>
      </c>
      <c r="C33" s="42" t="s">
        <v>101</v>
      </c>
      <c r="D33" s="38" t="s">
        <v>102</v>
      </c>
      <c r="E33" s="39">
        <v>45648</v>
      </c>
      <c r="F33" s="40">
        <f t="shared" ca="1" si="0"/>
        <v>239</v>
      </c>
      <c r="G33" s="40" t="str">
        <f t="shared" ca="1" si="1"/>
        <v xml:space="preserve">0 years 7 months </v>
      </c>
      <c r="H33" s="41" t="s">
        <v>63</v>
      </c>
      <c r="I33" s="19" t="s">
        <v>23</v>
      </c>
      <c r="J33" s="22" t="s">
        <v>24</v>
      </c>
      <c r="K33" s="22">
        <v>47</v>
      </c>
      <c r="L33" s="23">
        <v>13</v>
      </c>
      <c r="M33" s="22">
        <v>17</v>
      </c>
      <c r="N33" s="22">
        <v>3</v>
      </c>
      <c r="O33" s="25"/>
      <c r="P33" s="25">
        <f t="shared" si="2"/>
        <v>80</v>
      </c>
      <c r="Q33" s="22"/>
      <c r="R33" s="22"/>
    </row>
    <row r="34" spans="2:18" ht="24" customHeight="1" x14ac:dyDescent="0.25">
      <c r="B34" s="18">
        <v>31</v>
      </c>
      <c r="C34" s="42" t="s">
        <v>103</v>
      </c>
      <c r="D34" s="38" t="s">
        <v>104</v>
      </c>
      <c r="E34" s="39">
        <v>45650</v>
      </c>
      <c r="F34" s="40">
        <f t="shared" ca="1" si="0"/>
        <v>237</v>
      </c>
      <c r="G34" s="40" t="str">
        <f t="shared" ca="1" si="1"/>
        <v xml:space="preserve">0 years 7 months </v>
      </c>
      <c r="H34" s="41" t="s">
        <v>22</v>
      </c>
      <c r="I34" s="19" t="s">
        <v>23</v>
      </c>
      <c r="J34" s="22" t="s">
        <v>42</v>
      </c>
      <c r="K34" s="22">
        <v>48</v>
      </c>
      <c r="L34" s="23">
        <v>14</v>
      </c>
      <c r="M34" s="22">
        <v>14</v>
      </c>
      <c r="N34" s="22">
        <v>3.5</v>
      </c>
      <c r="O34" s="25"/>
      <c r="P34" s="25">
        <f t="shared" si="2"/>
        <v>79.5</v>
      </c>
      <c r="Q34" s="22"/>
      <c r="R34" s="22"/>
    </row>
    <row r="35" spans="2:18" ht="24" customHeight="1" x14ac:dyDescent="0.25">
      <c r="B35" s="18">
        <v>32</v>
      </c>
      <c r="C35" s="42" t="s">
        <v>105</v>
      </c>
      <c r="D35" s="38" t="s">
        <v>106</v>
      </c>
      <c r="E35" s="39">
        <v>45650</v>
      </c>
      <c r="F35" s="40">
        <f t="shared" ca="1" si="0"/>
        <v>237</v>
      </c>
      <c r="G35" s="40" t="str">
        <f t="shared" ca="1" si="1"/>
        <v xml:space="preserve">0 years 7 months </v>
      </c>
      <c r="H35" s="41" t="s">
        <v>22</v>
      </c>
      <c r="I35" s="19" t="s">
        <v>23</v>
      </c>
      <c r="J35" s="22" t="s">
        <v>42</v>
      </c>
      <c r="K35" s="22">
        <v>47</v>
      </c>
      <c r="L35" s="23">
        <v>14</v>
      </c>
      <c r="M35" s="22">
        <v>19</v>
      </c>
      <c r="N35" s="22">
        <v>4</v>
      </c>
      <c r="O35" s="25"/>
      <c r="P35" s="25">
        <f t="shared" si="2"/>
        <v>84</v>
      </c>
      <c r="Q35" s="22"/>
      <c r="R35" s="22"/>
    </row>
    <row r="36" spans="2:18" ht="24" customHeight="1" x14ac:dyDescent="0.25">
      <c r="B36" s="18">
        <v>33</v>
      </c>
      <c r="C36" s="43" t="s">
        <v>107</v>
      </c>
      <c r="D36" s="44" t="s">
        <v>108</v>
      </c>
      <c r="E36" s="45">
        <v>45658</v>
      </c>
      <c r="F36" s="40">
        <f t="shared" ca="1" si="0"/>
        <v>229</v>
      </c>
      <c r="G36" s="40" t="str">
        <f t="shared" ca="1" si="1"/>
        <v xml:space="preserve">0 years 7 months </v>
      </c>
      <c r="H36" s="46" t="s">
        <v>22</v>
      </c>
      <c r="I36" s="47" t="s">
        <v>23</v>
      </c>
      <c r="J36" s="48" t="s">
        <v>42</v>
      </c>
      <c r="K36" s="22">
        <v>48</v>
      </c>
      <c r="L36" s="23">
        <v>14</v>
      </c>
      <c r="M36" s="22">
        <v>19</v>
      </c>
      <c r="N36" s="22">
        <v>4</v>
      </c>
      <c r="O36" s="25"/>
      <c r="P36" s="25">
        <f t="shared" si="2"/>
        <v>85</v>
      </c>
      <c r="Q36" s="48"/>
      <c r="R36" s="48"/>
    </row>
    <row r="37" spans="2:18" ht="24" customHeight="1" x14ac:dyDescent="0.25">
      <c r="B37" s="18">
        <v>34</v>
      </c>
      <c r="C37" s="42" t="s">
        <v>109</v>
      </c>
      <c r="D37" s="41" t="s">
        <v>110</v>
      </c>
      <c r="E37" s="39">
        <v>45689</v>
      </c>
      <c r="F37" s="40">
        <f t="shared" ca="1" si="0"/>
        <v>198</v>
      </c>
      <c r="G37" s="40" t="str">
        <f t="shared" ca="1" si="1"/>
        <v xml:space="preserve">0 years 6 months </v>
      </c>
      <c r="H37" s="41" t="s">
        <v>22</v>
      </c>
      <c r="I37" s="49" t="s">
        <v>23</v>
      </c>
      <c r="J37" s="22" t="s">
        <v>42</v>
      </c>
      <c r="K37" s="22">
        <v>47.5</v>
      </c>
      <c r="L37" s="23">
        <v>14</v>
      </c>
      <c r="M37" s="22">
        <v>19</v>
      </c>
      <c r="N37" s="22">
        <v>4</v>
      </c>
      <c r="O37" s="25"/>
      <c r="P37" s="25">
        <f t="shared" si="2"/>
        <v>84.5</v>
      </c>
      <c r="Q37" s="22"/>
      <c r="R37" s="22"/>
    </row>
    <row r="38" spans="2:18" ht="24" customHeight="1" x14ac:dyDescent="0.25">
      <c r="B38" s="18">
        <v>35</v>
      </c>
      <c r="C38" s="42" t="s">
        <v>111</v>
      </c>
      <c r="D38" s="38" t="s">
        <v>112</v>
      </c>
      <c r="E38" s="39" t="s">
        <v>113</v>
      </c>
      <c r="F38" s="40" t="e">
        <f t="shared" ca="1" si="0"/>
        <v>#VALUE!</v>
      </c>
      <c r="G38" s="40" t="e">
        <f t="shared" ca="1" si="1"/>
        <v>#VALUE!</v>
      </c>
      <c r="H38" s="41" t="s">
        <v>22</v>
      </c>
      <c r="I38" s="49" t="s">
        <v>114</v>
      </c>
      <c r="J38" s="22" t="s">
        <v>115</v>
      </c>
      <c r="K38" s="22">
        <v>46</v>
      </c>
      <c r="L38" s="23">
        <v>14</v>
      </c>
      <c r="M38" s="22">
        <v>19</v>
      </c>
      <c r="N38" s="22">
        <v>4</v>
      </c>
      <c r="O38" s="25"/>
      <c r="P38" s="25">
        <f t="shared" si="2"/>
        <v>83</v>
      </c>
      <c r="Q38" s="22"/>
      <c r="R38" s="22"/>
    </row>
    <row r="39" spans="2:18" ht="24" customHeight="1" x14ac:dyDescent="0.25">
      <c r="B39" s="18">
        <v>36</v>
      </c>
      <c r="C39" s="42" t="s">
        <v>116</v>
      </c>
      <c r="D39" s="41" t="s">
        <v>117</v>
      </c>
      <c r="E39" s="39">
        <v>45729</v>
      </c>
      <c r="F39" s="40">
        <f t="shared" ca="1" si="0"/>
        <v>158</v>
      </c>
      <c r="G39" s="40" t="str">
        <f t="shared" ca="1" si="1"/>
        <v xml:space="preserve">0 years 5 months </v>
      </c>
      <c r="H39" s="41" t="s">
        <v>22</v>
      </c>
      <c r="I39" s="49" t="s">
        <v>23</v>
      </c>
      <c r="J39" s="22" t="s">
        <v>42</v>
      </c>
      <c r="K39" s="22">
        <v>48</v>
      </c>
      <c r="L39" s="23">
        <v>15</v>
      </c>
      <c r="M39" s="22">
        <v>20</v>
      </c>
      <c r="N39" s="22">
        <v>4</v>
      </c>
      <c r="O39" s="25"/>
      <c r="P39" s="25">
        <f t="shared" si="2"/>
        <v>87</v>
      </c>
      <c r="Q39" s="22"/>
      <c r="R39" s="22"/>
    </row>
    <row r="40" spans="2:18" ht="24" customHeight="1" x14ac:dyDescent="0.25">
      <c r="B40" s="18">
        <v>37</v>
      </c>
      <c r="C40" s="42" t="s">
        <v>118</v>
      </c>
      <c r="D40" s="41" t="s">
        <v>119</v>
      </c>
      <c r="E40" s="39">
        <v>45729</v>
      </c>
      <c r="F40" s="40">
        <f t="shared" ca="1" si="0"/>
        <v>158</v>
      </c>
      <c r="G40" s="40" t="str">
        <f t="shared" ca="1" si="1"/>
        <v xml:space="preserve">0 years 5 months </v>
      </c>
      <c r="H40" s="41" t="s">
        <v>22</v>
      </c>
      <c r="I40" s="49" t="s">
        <v>23</v>
      </c>
      <c r="J40" s="22" t="s">
        <v>42</v>
      </c>
      <c r="K40" s="22">
        <v>48</v>
      </c>
      <c r="L40" s="23">
        <v>15</v>
      </c>
      <c r="M40" s="22">
        <v>20</v>
      </c>
      <c r="N40" s="22">
        <v>4</v>
      </c>
      <c r="O40" s="25"/>
      <c r="P40" s="25">
        <f t="shared" si="2"/>
        <v>87</v>
      </c>
      <c r="Q40" s="22"/>
      <c r="R40" s="22"/>
    </row>
    <row r="41" spans="2:18" ht="24" customHeight="1" x14ac:dyDescent="0.25">
      <c r="B41" s="18">
        <v>38</v>
      </c>
      <c r="C41" s="42" t="s">
        <v>120</v>
      </c>
      <c r="D41" s="41" t="s">
        <v>121</v>
      </c>
      <c r="E41" s="39">
        <v>45729</v>
      </c>
      <c r="F41" s="40">
        <f t="shared" ca="1" si="0"/>
        <v>158</v>
      </c>
      <c r="G41" s="40" t="str">
        <f t="shared" ca="1" si="1"/>
        <v xml:space="preserve">0 years 5 months </v>
      </c>
      <c r="H41" s="41" t="s">
        <v>22</v>
      </c>
      <c r="I41" s="49" t="s">
        <v>23</v>
      </c>
      <c r="J41" s="22" t="s">
        <v>42</v>
      </c>
      <c r="K41" s="22">
        <v>47</v>
      </c>
      <c r="L41" s="23">
        <v>14</v>
      </c>
      <c r="M41" s="22">
        <v>18</v>
      </c>
      <c r="N41" s="22">
        <v>4</v>
      </c>
      <c r="O41" s="25"/>
      <c r="P41" s="25">
        <f t="shared" si="2"/>
        <v>83</v>
      </c>
      <c r="Q41" s="22"/>
      <c r="R41" s="22"/>
    </row>
    <row r="42" spans="2:18" ht="24" customHeight="1" x14ac:dyDescent="0.25">
      <c r="B42" s="18">
        <v>39</v>
      </c>
      <c r="C42" s="50" t="s">
        <v>122</v>
      </c>
      <c r="D42" s="41" t="s">
        <v>123</v>
      </c>
      <c r="E42" s="39">
        <v>45753</v>
      </c>
      <c r="F42" s="40">
        <f t="shared" ca="1" si="0"/>
        <v>134</v>
      </c>
      <c r="G42" s="40" t="str">
        <f t="shared" ca="1" si="1"/>
        <v xml:space="preserve">0 years 4 months </v>
      </c>
      <c r="H42" s="41" t="s">
        <v>32</v>
      </c>
      <c r="I42" s="49" t="s">
        <v>23</v>
      </c>
      <c r="J42" s="22" t="s">
        <v>68</v>
      </c>
      <c r="K42" s="22">
        <v>45</v>
      </c>
      <c r="L42" s="23">
        <v>14</v>
      </c>
      <c r="M42" s="22">
        <v>17</v>
      </c>
      <c r="N42" s="22">
        <v>3.5</v>
      </c>
      <c r="O42" s="25"/>
      <c r="P42" s="25">
        <f t="shared" si="2"/>
        <v>79.5</v>
      </c>
      <c r="Q42" s="22"/>
      <c r="R42" s="22"/>
    </row>
    <row r="43" spans="2:18" ht="24" customHeight="1" x14ac:dyDescent="0.25">
      <c r="B43" s="18">
        <v>40</v>
      </c>
      <c r="C43" s="42" t="s">
        <v>124</v>
      </c>
      <c r="D43" s="41" t="s">
        <v>125</v>
      </c>
      <c r="E43" s="39">
        <v>45760</v>
      </c>
      <c r="F43" s="40">
        <f t="shared" ca="1" si="0"/>
        <v>127</v>
      </c>
      <c r="G43" s="40" t="str">
        <f t="shared" ca="1" si="1"/>
        <v xml:space="preserve">0 years 4 months </v>
      </c>
      <c r="H43" s="41" t="s">
        <v>63</v>
      </c>
      <c r="I43" s="49" t="s">
        <v>23</v>
      </c>
      <c r="J43" s="22"/>
      <c r="K43" s="22">
        <v>49</v>
      </c>
      <c r="L43" s="23">
        <v>15</v>
      </c>
      <c r="M43" s="22">
        <v>20</v>
      </c>
      <c r="N43" s="22">
        <v>4</v>
      </c>
      <c r="O43" s="25"/>
      <c r="P43" s="25">
        <f t="shared" si="2"/>
        <v>88</v>
      </c>
      <c r="Q43" s="22"/>
      <c r="R43" s="22"/>
    </row>
    <row r="44" spans="2:18" ht="24" customHeight="1" x14ac:dyDescent="0.25">
      <c r="B44" s="18">
        <v>41</v>
      </c>
      <c r="C44" s="51" t="s">
        <v>126</v>
      </c>
      <c r="D44" s="52" t="s">
        <v>127</v>
      </c>
      <c r="E44" s="53">
        <v>45785</v>
      </c>
      <c r="F44" s="40">
        <f t="shared" ca="1" si="0"/>
        <v>102</v>
      </c>
      <c r="G44" s="40" t="str">
        <f t="shared" ca="1" si="1"/>
        <v xml:space="preserve">0 years 3 months </v>
      </c>
      <c r="H44" s="54" t="s">
        <v>55</v>
      </c>
      <c r="I44" s="49" t="s">
        <v>23</v>
      </c>
      <c r="J44" s="22" t="s">
        <v>68</v>
      </c>
      <c r="K44" s="22">
        <v>49</v>
      </c>
      <c r="L44" s="23">
        <v>15</v>
      </c>
      <c r="M44" s="22">
        <v>20</v>
      </c>
      <c r="N44" s="22">
        <v>4</v>
      </c>
      <c r="O44" s="55"/>
      <c r="P44" s="25">
        <f t="shared" si="2"/>
        <v>88</v>
      </c>
      <c r="Q44" s="22"/>
      <c r="R44" s="22"/>
    </row>
    <row r="45" spans="2:18" ht="24" customHeight="1" x14ac:dyDescent="0.25">
      <c r="B45" s="18">
        <v>42</v>
      </c>
      <c r="C45" s="51" t="s">
        <v>128</v>
      </c>
      <c r="D45" s="52" t="s">
        <v>129</v>
      </c>
      <c r="E45" s="53">
        <v>45809</v>
      </c>
      <c r="F45" s="40">
        <f t="shared" ca="1" si="0"/>
        <v>78</v>
      </c>
      <c r="G45" s="40" t="str">
        <f t="shared" ca="1" si="1"/>
        <v xml:space="preserve">0 years 2 months </v>
      </c>
      <c r="H45" s="54" t="s">
        <v>63</v>
      </c>
      <c r="I45" s="49" t="s">
        <v>23</v>
      </c>
      <c r="J45" s="22"/>
      <c r="K45" s="22">
        <v>46</v>
      </c>
      <c r="L45" s="23">
        <v>15</v>
      </c>
      <c r="M45" s="22">
        <v>20</v>
      </c>
      <c r="N45" s="22">
        <v>5</v>
      </c>
      <c r="O45" s="25"/>
      <c r="P45" s="25">
        <f t="shared" si="2"/>
        <v>86</v>
      </c>
      <c r="Q45" s="22"/>
      <c r="R45" s="22"/>
    </row>
    <row r="46" spans="2:18" ht="24" customHeight="1" x14ac:dyDescent="0.25">
      <c r="B46" s="18">
        <v>43</v>
      </c>
      <c r="C46" s="51" t="s">
        <v>130</v>
      </c>
      <c r="D46" s="52" t="s">
        <v>131</v>
      </c>
      <c r="E46" s="53">
        <v>45742</v>
      </c>
      <c r="F46" s="40">
        <f t="shared" ca="1" si="0"/>
        <v>145</v>
      </c>
      <c r="G46" s="40" t="str">
        <f t="shared" ca="1" si="1"/>
        <v xml:space="preserve">0 years 4 months </v>
      </c>
      <c r="H46" s="41" t="s">
        <v>22</v>
      </c>
      <c r="I46" s="19" t="s">
        <v>45</v>
      </c>
      <c r="J46" s="22" t="s">
        <v>42</v>
      </c>
      <c r="K46" s="22">
        <v>46</v>
      </c>
      <c r="L46" s="23">
        <v>14</v>
      </c>
      <c r="M46" s="22">
        <v>19</v>
      </c>
      <c r="N46" s="22">
        <v>4</v>
      </c>
      <c r="O46" s="25"/>
      <c r="P46" s="25">
        <f t="shared" si="2"/>
        <v>83</v>
      </c>
      <c r="Q46" s="22"/>
      <c r="R46" s="22"/>
    </row>
    <row r="47" spans="2:18" ht="24" customHeight="1" x14ac:dyDescent="0.25">
      <c r="B47" s="18">
        <v>44</v>
      </c>
      <c r="C47" s="51" t="s">
        <v>132</v>
      </c>
      <c r="D47" s="56" t="s">
        <v>133</v>
      </c>
      <c r="E47" s="53">
        <v>45865</v>
      </c>
      <c r="F47" s="40">
        <f ca="1">TODAY()-E47</f>
        <v>22</v>
      </c>
      <c r="G47" s="40" t="str">
        <f ca="1">DATEDIF(0,F47,"y")&amp;" years " &amp;DATEDIF(0,F47,"ym")&amp;" months "</f>
        <v xml:space="preserve">0 years 0 months </v>
      </c>
      <c r="H47" s="54" t="s">
        <v>22</v>
      </c>
      <c r="I47" s="57" t="s">
        <v>45</v>
      </c>
      <c r="J47" s="22" t="s">
        <v>42</v>
      </c>
      <c r="K47" s="22">
        <v>48</v>
      </c>
      <c r="L47" s="23">
        <v>14</v>
      </c>
      <c r="M47" s="22">
        <v>18</v>
      </c>
      <c r="N47" s="22">
        <v>4</v>
      </c>
      <c r="O47" s="25"/>
      <c r="P47" s="25">
        <f t="shared" si="2"/>
        <v>84</v>
      </c>
      <c r="Q47" s="22"/>
      <c r="R47" s="22" t="s">
        <v>134</v>
      </c>
    </row>
    <row r="48" spans="2:18" ht="24" customHeight="1" x14ac:dyDescent="0.25">
      <c r="B48" s="18">
        <v>45</v>
      </c>
      <c r="C48" s="51" t="s">
        <v>135</v>
      </c>
      <c r="D48" s="56" t="s">
        <v>136</v>
      </c>
      <c r="E48" s="53">
        <v>45872</v>
      </c>
      <c r="F48" s="40">
        <f ca="1">TODAY()-E48</f>
        <v>15</v>
      </c>
      <c r="G48" s="40" t="str">
        <f ca="1">DATEDIF(0,F48,"y")&amp;" years " &amp;DATEDIF(0,F48,"ym")&amp;" months "</f>
        <v xml:space="preserve">0 years 0 months </v>
      </c>
      <c r="H48" s="58" t="s">
        <v>22</v>
      </c>
      <c r="I48" s="58" t="s">
        <v>45</v>
      </c>
      <c r="J48" s="22" t="s">
        <v>42</v>
      </c>
      <c r="K48" s="22">
        <v>47</v>
      </c>
      <c r="L48" s="23">
        <v>14</v>
      </c>
      <c r="M48" s="22">
        <v>18</v>
      </c>
      <c r="N48" s="22">
        <v>4</v>
      </c>
      <c r="O48" s="25"/>
      <c r="P48" s="25">
        <f t="shared" si="2"/>
        <v>83</v>
      </c>
      <c r="Q48" s="22"/>
      <c r="R48" s="22" t="s">
        <v>134</v>
      </c>
    </row>
    <row r="49" spans="2:20" ht="24" customHeight="1" x14ac:dyDescent="0.25">
      <c r="B49" s="18">
        <v>46</v>
      </c>
      <c r="C49" s="59" t="s">
        <v>137</v>
      </c>
      <c r="D49" s="56" t="s">
        <v>138</v>
      </c>
      <c r="E49" s="53">
        <v>45872</v>
      </c>
      <c r="F49" s="40">
        <f ca="1">TODAY()-E49</f>
        <v>15</v>
      </c>
      <c r="G49" s="40" t="str">
        <f ca="1">DATEDIF(0,F49,"y")&amp;" years " &amp;DATEDIF(0,F49,"ym")&amp;" months "</f>
        <v xml:space="preserve">0 years 0 months </v>
      </c>
      <c r="H49" s="58" t="s">
        <v>22</v>
      </c>
      <c r="I49" s="58" t="s">
        <v>23</v>
      </c>
      <c r="J49" s="22"/>
      <c r="K49" s="22">
        <v>48</v>
      </c>
      <c r="L49" s="23">
        <v>14</v>
      </c>
      <c r="M49" s="22">
        <v>17</v>
      </c>
      <c r="N49" s="22">
        <v>4</v>
      </c>
      <c r="O49" s="25"/>
      <c r="P49" s="25">
        <f t="shared" si="2"/>
        <v>83</v>
      </c>
      <c r="Q49" s="22"/>
      <c r="R49" s="22" t="s">
        <v>134</v>
      </c>
    </row>
    <row r="50" spans="2:20" ht="24" customHeight="1" x14ac:dyDescent="0.25">
      <c r="B50" s="18">
        <v>47</v>
      </c>
      <c r="C50" s="58" t="s">
        <v>139</v>
      </c>
      <c r="D50" s="56" t="s">
        <v>140</v>
      </c>
      <c r="E50" s="53">
        <v>45872</v>
      </c>
      <c r="F50" s="40">
        <f ca="1">TODAY()-E50</f>
        <v>15</v>
      </c>
      <c r="G50" s="40" t="str">
        <f ca="1">DATEDIF(0,F50,"y")&amp;" years " &amp;DATEDIF(0,F50,"ym")&amp;" months "</f>
        <v xml:space="preserve">0 years 0 months </v>
      </c>
      <c r="H50" s="58" t="s">
        <v>22</v>
      </c>
      <c r="I50" s="58" t="s">
        <v>114</v>
      </c>
      <c r="J50" s="22"/>
      <c r="K50" s="22">
        <v>48</v>
      </c>
      <c r="L50" s="23">
        <v>13</v>
      </c>
      <c r="M50" s="22">
        <v>18</v>
      </c>
      <c r="N50" s="22">
        <v>4</v>
      </c>
      <c r="O50" s="25"/>
      <c r="P50" s="25">
        <f t="shared" si="2"/>
        <v>83</v>
      </c>
      <c r="Q50" s="22"/>
      <c r="R50" s="22" t="s">
        <v>134</v>
      </c>
      <c r="T50" s="60"/>
    </row>
    <row r="51" spans="2:20" ht="24" customHeight="1" x14ac:dyDescent="0.25">
      <c r="C51" s="62"/>
      <c r="D51" s="62"/>
      <c r="E51" s="63"/>
      <c r="F51" s="64"/>
      <c r="G51" s="64"/>
      <c r="H51" s="62"/>
      <c r="I51" s="62"/>
      <c r="O51" s="65"/>
      <c r="P51" s="65"/>
      <c r="T51" s="60"/>
    </row>
    <row r="52" spans="2:20" ht="24" customHeight="1" x14ac:dyDescent="0.25">
      <c r="C52" s="62"/>
      <c r="D52" s="62"/>
      <c r="E52" s="63"/>
      <c r="F52" s="64"/>
      <c r="G52" s="64"/>
      <c r="H52" s="62"/>
      <c r="I52" s="62"/>
      <c r="O52" s="65"/>
      <c r="P52" s="65"/>
      <c r="T52" s="60"/>
    </row>
    <row r="53" spans="2:20" ht="24" customHeight="1" x14ac:dyDescent="0.25">
      <c r="B53" s="5" t="s">
        <v>29</v>
      </c>
      <c r="C53" s="5"/>
      <c r="D53" s="5"/>
      <c r="E53" s="6"/>
      <c r="F53" s="5"/>
      <c r="G53" s="5"/>
      <c r="H53" s="5"/>
      <c r="I53" s="7"/>
      <c r="J53" s="66" t="s">
        <v>2</v>
      </c>
      <c r="K53" s="18">
        <v>50</v>
      </c>
      <c r="L53" s="18">
        <v>20</v>
      </c>
      <c r="M53" s="18">
        <v>10</v>
      </c>
      <c r="N53" s="18">
        <v>10</v>
      </c>
      <c r="O53" s="18">
        <v>5</v>
      </c>
      <c r="P53" s="18">
        <v>5</v>
      </c>
      <c r="Q53" s="18">
        <f>SUM(K53:P53)</f>
        <v>100</v>
      </c>
      <c r="R53" s="18">
        <f>SUM(K53:P53)</f>
        <v>100</v>
      </c>
      <c r="S53" s="22"/>
    </row>
    <row r="54" spans="2:20" s="16" customFormat="1" ht="24" customHeight="1" x14ac:dyDescent="0.25">
      <c r="B54" s="13" t="s">
        <v>3</v>
      </c>
      <c r="C54" s="13" t="s">
        <v>4</v>
      </c>
      <c r="D54" s="13" t="s">
        <v>5</v>
      </c>
      <c r="E54" s="13" t="s">
        <v>6</v>
      </c>
      <c r="F54" s="13" t="s">
        <v>7</v>
      </c>
      <c r="G54" s="13" t="s">
        <v>8</v>
      </c>
      <c r="H54" s="13" t="s">
        <v>9</v>
      </c>
      <c r="I54" s="67" t="s">
        <v>10</v>
      </c>
      <c r="J54" s="13" t="s">
        <v>11</v>
      </c>
      <c r="K54" s="68" t="s">
        <v>141</v>
      </c>
      <c r="L54" s="68" t="s">
        <v>142</v>
      </c>
      <c r="M54" s="68" t="s">
        <v>143</v>
      </c>
      <c r="N54" s="68" t="s">
        <v>16</v>
      </c>
      <c r="O54" s="68" t="s">
        <v>144</v>
      </c>
      <c r="P54" s="68" t="s">
        <v>145</v>
      </c>
      <c r="Q54" s="69" t="s">
        <v>17</v>
      </c>
      <c r="R54" s="70" t="s">
        <v>18</v>
      </c>
      <c r="S54" s="13" t="s">
        <v>19</v>
      </c>
      <c r="T54" s="11"/>
    </row>
    <row r="55" spans="2:20" ht="24" customHeight="1" x14ac:dyDescent="0.25">
      <c r="B55" s="18">
        <v>48</v>
      </c>
      <c r="C55" s="19" t="s">
        <v>146</v>
      </c>
      <c r="D55" s="19" t="s">
        <v>147</v>
      </c>
      <c r="E55" s="20">
        <v>44641</v>
      </c>
      <c r="F55" s="21">
        <f t="shared" ref="F55:F57" ca="1" si="3">TODAY()-E55</f>
        <v>1246</v>
      </c>
      <c r="G55" s="21" t="str">
        <f t="shared" ref="G55:G57" ca="1" si="4">DATEDIF(0,F55,"y")&amp;" years " &amp;DATEDIF(0,F55,"ym")&amp;" months "</f>
        <v xml:space="preserve">3 years 4 months </v>
      </c>
      <c r="H55" s="19" t="s">
        <v>27</v>
      </c>
      <c r="I55" s="19" t="s">
        <v>23</v>
      </c>
      <c r="J55" s="19" t="s">
        <v>29</v>
      </c>
      <c r="K55" s="71">
        <v>35</v>
      </c>
      <c r="L55" s="72" t="e">
        <f>(AVERAGEIF(J:J, "Tanvir", P:P))*20%</f>
        <v>#DIV/0!</v>
      </c>
      <c r="M55" s="22">
        <v>3</v>
      </c>
      <c r="N55" s="25"/>
      <c r="O55" s="25"/>
      <c r="P55" s="25"/>
      <c r="Q55" s="25"/>
      <c r="R55" s="22"/>
      <c r="S55" s="22"/>
      <c r="T55" s="11"/>
    </row>
    <row r="56" spans="2:20" ht="24" customHeight="1" x14ac:dyDescent="0.25">
      <c r="B56" s="18">
        <v>49</v>
      </c>
      <c r="C56" s="19" t="s">
        <v>148</v>
      </c>
      <c r="D56" s="19" t="s">
        <v>149</v>
      </c>
      <c r="E56" s="20">
        <v>45139</v>
      </c>
      <c r="F56" s="21">
        <f t="shared" ca="1" si="3"/>
        <v>748</v>
      </c>
      <c r="G56" s="21" t="str">
        <f t="shared" ca="1" si="4"/>
        <v xml:space="preserve">2 years 0 months </v>
      </c>
      <c r="H56" s="19" t="s">
        <v>27</v>
      </c>
      <c r="I56" s="19" t="s">
        <v>23</v>
      </c>
      <c r="J56" s="19" t="s">
        <v>29</v>
      </c>
      <c r="K56" s="71">
        <v>43</v>
      </c>
      <c r="L56" s="72">
        <f>(AVERAGEIF(J:J, "Himel", P:P))*20%</f>
        <v>16.333333333333336</v>
      </c>
      <c r="M56" s="22">
        <v>4</v>
      </c>
      <c r="N56" s="25"/>
      <c r="O56" s="25"/>
      <c r="P56" s="25"/>
      <c r="Q56" s="25"/>
      <c r="R56" s="22"/>
      <c r="S56" s="22"/>
    </row>
    <row r="57" spans="2:20" ht="24" customHeight="1" x14ac:dyDescent="0.25">
      <c r="B57" s="18">
        <v>50</v>
      </c>
      <c r="C57" s="19" t="s">
        <v>150</v>
      </c>
      <c r="D57" s="19" t="s">
        <v>151</v>
      </c>
      <c r="E57" s="20">
        <v>44591</v>
      </c>
      <c r="F57" s="21">
        <f t="shared" ca="1" si="3"/>
        <v>1296</v>
      </c>
      <c r="G57" s="21" t="str">
        <f t="shared" ca="1" si="4"/>
        <v xml:space="preserve">3 years 6 months </v>
      </c>
      <c r="H57" s="19" t="s">
        <v>55</v>
      </c>
      <c r="I57" s="19" t="s">
        <v>23</v>
      </c>
      <c r="J57" s="19" t="s">
        <v>29</v>
      </c>
      <c r="K57" s="71">
        <v>66</v>
      </c>
      <c r="L57" s="72" t="s">
        <v>161</v>
      </c>
      <c r="M57" s="22">
        <v>4</v>
      </c>
      <c r="N57" s="25"/>
      <c r="O57" s="25"/>
      <c r="P57" s="25"/>
      <c r="Q57" s="25"/>
      <c r="R57" s="22"/>
      <c r="S57" s="22"/>
    </row>
    <row r="59" spans="2:20" ht="24" customHeight="1" x14ac:dyDescent="0.25">
      <c r="B59" s="5" t="s">
        <v>152</v>
      </c>
      <c r="C59" s="5"/>
      <c r="D59" s="5"/>
      <c r="E59" s="6"/>
      <c r="F59" s="5"/>
      <c r="G59" s="5"/>
      <c r="H59" s="5"/>
      <c r="I59" s="7"/>
      <c r="J59" s="66" t="s">
        <v>2</v>
      </c>
      <c r="K59" s="18">
        <v>50</v>
      </c>
      <c r="L59" s="18">
        <v>20</v>
      </c>
      <c r="M59" s="18">
        <v>10</v>
      </c>
      <c r="N59" s="18">
        <v>10</v>
      </c>
      <c r="O59" s="18">
        <v>5</v>
      </c>
      <c r="P59" s="18">
        <v>5</v>
      </c>
      <c r="Q59" s="18">
        <f>SUM(K59:P59)</f>
        <v>100</v>
      </c>
      <c r="R59" s="18">
        <f>SUM(K59:P59)</f>
        <v>100</v>
      </c>
      <c r="S59" s="18"/>
    </row>
    <row r="60" spans="2:20" s="16" customFormat="1" ht="24" customHeight="1" x14ac:dyDescent="0.25">
      <c r="B60" s="13" t="s">
        <v>3</v>
      </c>
      <c r="C60" s="13" t="s">
        <v>4</v>
      </c>
      <c r="D60" s="13" t="s">
        <v>5</v>
      </c>
      <c r="E60" s="13" t="s">
        <v>6</v>
      </c>
      <c r="F60" s="13" t="s">
        <v>7</v>
      </c>
      <c r="G60" s="13" t="s">
        <v>8</v>
      </c>
      <c r="H60" s="13" t="s">
        <v>9</v>
      </c>
      <c r="I60" s="67" t="s">
        <v>10</v>
      </c>
      <c r="J60" s="13" t="s">
        <v>11</v>
      </c>
      <c r="K60" s="68" t="s">
        <v>142</v>
      </c>
      <c r="L60" s="68" t="s">
        <v>141</v>
      </c>
      <c r="M60" s="68" t="s">
        <v>143</v>
      </c>
      <c r="N60" s="68" t="s">
        <v>16</v>
      </c>
      <c r="O60" s="68" t="s">
        <v>144</v>
      </c>
      <c r="P60" s="68" t="s">
        <v>153</v>
      </c>
      <c r="Q60" s="69" t="s">
        <v>17</v>
      </c>
      <c r="R60" s="70" t="s">
        <v>18</v>
      </c>
      <c r="S60" s="13" t="s">
        <v>19</v>
      </c>
      <c r="T60" s="17"/>
    </row>
    <row r="61" spans="2:20" ht="24" customHeight="1" x14ac:dyDescent="0.25">
      <c r="B61" s="18">
        <v>51</v>
      </c>
      <c r="C61" s="73" t="s">
        <v>154</v>
      </c>
      <c r="D61" s="19" t="s">
        <v>155</v>
      </c>
      <c r="E61" s="20">
        <v>44868</v>
      </c>
      <c r="F61" s="21">
        <f t="shared" ref="F61:F62" ca="1" si="5">TODAY()-E61</f>
        <v>1019</v>
      </c>
      <c r="G61" s="21" t="str">
        <f t="shared" ref="G61:G62" ca="1" si="6">DATEDIF(0,F61,"y")&amp;" years " &amp;DATEDIF(0,F61,"ym")&amp;" months "</f>
        <v xml:space="preserve">2 years 9 months </v>
      </c>
      <c r="H61" s="19" t="s">
        <v>27</v>
      </c>
      <c r="I61" s="19" t="s">
        <v>45</v>
      </c>
      <c r="J61" s="73" t="s">
        <v>152</v>
      </c>
      <c r="K61" s="72">
        <f>(AVERAGEIF(J:J, "Asim", P:P))*50%</f>
        <v>42.8125</v>
      </c>
      <c r="L61" s="22">
        <v>18</v>
      </c>
      <c r="M61" s="22"/>
      <c r="N61" s="25"/>
      <c r="O61" s="25"/>
      <c r="P61" s="25"/>
      <c r="Q61" s="25"/>
      <c r="R61" s="22"/>
      <c r="S61" s="18"/>
    </row>
    <row r="62" spans="2:20" ht="24" customHeight="1" x14ac:dyDescent="0.25">
      <c r="B62" s="18">
        <v>52</v>
      </c>
      <c r="C62" s="73" t="s">
        <v>156</v>
      </c>
      <c r="D62" s="19" t="s">
        <v>157</v>
      </c>
      <c r="E62" s="20">
        <v>45305</v>
      </c>
      <c r="F62" s="21">
        <f t="shared" ca="1" si="5"/>
        <v>582</v>
      </c>
      <c r="G62" s="21" t="str">
        <f t="shared" ca="1" si="6"/>
        <v xml:space="preserve">1 years 7 months </v>
      </c>
      <c r="H62" s="19" t="s">
        <v>27</v>
      </c>
      <c r="I62" s="19" t="s">
        <v>23</v>
      </c>
      <c r="J62" s="73" t="s">
        <v>152</v>
      </c>
      <c r="K62" s="72">
        <f>(AVERAGEIF(J:J, "Sakib", P:P))*50%</f>
        <v>42.227272727272727</v>
      </c>
      <c r="L62" s="22">
        <v>18</v>
      </c>
      <c r="M62" s="22">
        <v>9</v>
      </c>
      <c r="N62" s="25"/>
      <c r="O62" s="25"/>
      <c r="P62" s="25"/>
      <c r="Q62" s="25"/>
      <c r="R62" s="22"/>
      <c r="S62" s="18"/>
    </row>
    <row r="63" spans="2:20" ht="24" customHeight="1" x14ac:dyDescent="0.25">
      <c r="B63" s="18">
        <v>53</v>
      </c>
      <c r="C63" s="50" t="s">
        <v>158</v>
      </c>
      <c r="D63" s="38" t="s">
        <v>159</v>
      </c>
      <c r="E63" s="39">
        <v>45743</v>
      </c>
      <c r="F63" s="40">
        <f ca="1">TODAY()-E63</f>
        <v>144</v>
      </c>
      <c r="G63" s="40" t="str">
        <f ca="1">DATEDIF(0,F63,"y")&amp;" years " &amp;DATEDIF(0,F63,"ym")&amp;" months "</f>
        <v xml:space="preserve">0 years 4 months </v>
      </c>
      <c r="H63" s="41" t="s">
        <v>27</v>
      </c>
      <c r="I63" s="49" t="s">
        <v>114</v>
      </c>
      <c r="J63" s="22" t="s">
        <v>160</v>
      </c>
      <c r="K63" s="22">
        <f>(AVERAGEIF(J:J, "Jashim", P:P))*50%</f>
        <v>41.5</v>
      </c>
      <c r="L63" s="22">
        <v>18</v>
      </c>
      <c r="M63" s="22">
        <v>9</v>
      </c>
      <c r="N63" s="74"/>
      <c r="O63" s="25"/>
      <c r="P63" s="25"/>
      <c r="Q63" s="25"/>
      <c r="R63" s="22"/>
      <c r="S63" s="22"/>
    </row>
  </sheetData>
  <mergeCells count="1">
    <mergeCell ref="K1:P1"/>
  </mergeCells>
  <conditionalFormatting sqref="G4:G30 G55:G57 G61:G62">
    <cfRule type="cellIs" dxfId="0" priority="1" operator="between">
      <formula>0</formula>
      <formula>8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Afsana Abedin, Asst. Manager - HR, AESL</dc:creator>
  <cp:lastModifiedBy>Business Analyst</cp:lastModifiedBy>
  <dcterms:created xsi:type="dcterms:W3CDTF">2025-08-06T11:06:03Z</dcterms:created>
  <dcterms:modified xsi:type="dcterms:W3CDTF">2025-08-18T06:13:50Z</dcterms:modified>
</cp:coreProperties>
</file>